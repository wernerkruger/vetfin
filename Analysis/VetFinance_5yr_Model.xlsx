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ssumptions" sheetId="1" state="visible" r:id="rId1"/>
    <sheet xmlns:r="http://schemas.openxmlformats.org/officeDocument/2006/relationships" name="Monthly Model" sheetId="2" state="visible" r:id="rId2"/>
    <sheet xmlns:r="http://schemas.openxmlformats.org/officeDocument/2006/relationships" name="Annual Summary" sheetId="3" state="visible" r:id="rId3"/>
    <sheet xmlns:r="http://schemas.openxmlformats.org/officeDocument/2006/relationships" name="Cash &amp; Raises" sheetId="4" state="visible" r:id="rId4"/>
    <sheet xmlns:r="http://schemas.openxmlformats.org/officeDocument/2006/relationships" name="Capital Plan" sheetId="5" state="visible" r:id="rId5"/>
  </sheets>
  <definedNames/>
  <calcPr calcId="124519" fullCalcOnLoad="1"/>
</workbook>
</file>

<file path=xl/styles.xml><?xml version="1.0" encoding="utf-8"?>
<styleSheet xmlns="http://schemas.openxmlformats.org/spreadsheetml/2006/main">
  <numFmts count="7">
    <numFmt numFmtId="164" formatCode="mmm\-yyyy"/>
    <numFmt numFmtId="165" formatCode="#,##0;\(#,##0\);\-"/>
    <numFmt numFmtId="166" formatCode="0.0%;\(0.0%\);\-"/>
    <numFmt numFmtId="167" formatCode="#,##0.0;\(#,##0.0\);\-"/>
    <numFmt numFmtId="168" formatCode="\$#,##0;&quot;($&quot;#,##0\);\-"/>
    <numFmt numFmtId="169" formatCode="0.0\x;\(0.0&quot;x)&quot;;\-"/>
    <numFmt numFmtId="170" formatCode="mmm\-yy"/>
  </numFmts>
  <fonts count="29">
    <font>
      <name val="Calibri"/>
      <color theme="1"/>
      <sz val="11"/>
      <scheme val="minor"/>
    </font>
    <font>
      <name val="Arial"/>
      <b val="1"/>
      <color rgb="FFFFFFFF"/>
      <sz val="12"/>
    </font>
    <font/>
    <font>
      <name val="Calibri"/>
      <color theme="1"/>
      <sz val="11"/>
    </font>
    <font>
      <name val="Arial"/>
      <b val="1"/>
      <color rgb="FFFFFFFF"/>
      <sz val="9"/>
    </font>
    <font>
      <name val="Arial"/>
      <b val="1"/>
      <color rgb="FF000000"/>
      <sz val="10"/>
    </font>
    <font>
      <name val="Arial"/>
      <color theme="1"/>
      <sz val="10"/>
    </font>
    <font>
      <name val="Arial"/>
      <color rgb="FF0000FF"/>
      <sz val="10"/>
    </font>
    <font>
      <name val="Arial"/>
      <i val="1"/>
      <color rgb="FF707070"/>
      <sz val="9"/>
    </font>
    <font>
      <name val="Arial"/>
      <b val="1"/>
      <color theme="1"/>
      <sz val="10"/>
    </font>
    <font>
      <name val="Arial"/>
      <b val="1"/>
      <color theme="1"/>
      <sz val="8"/>
    </font>
    <font>
      <name val="Arial"/>
      <color rgb="FF008000"/>
      <sz val="10"/>
    </font>
    <font>
      <name val="Arial"/>
      <color rgb="FF000000"/>
      <sz val="10"/>
    </font>
    <font>
      <name val="Arial"/>
      <color rgb="FF0000FF"/>
      <sz val="9"/>
    </font>
    <font>
      <name val="Arial"/>
      <color rgb="FF000000"/>
      <sz val="9"/>
    </font>
    <font>
      <name val="Arial"/>
      <color rgb="FF008000"/>
      <sz val="9"/>
    </font>
    <font>
      <name val="Arial"/>
      <b val="1"/>
      <color rgb="FF000000"/>
      <sz val="9"/>
    </font>
    <font>
      <name val="Arial"/>
      <i val="1"/>
      <color rgb="FF505050"/>
      <sz val="9"/>
    </font>
    <font>
      <name val="Arial"/>
      <color rgb="FF000000"/>
      <sz val="8"/>
    </font>
    <font>
      <name val="Arial"/>
      <b val="1"/>
      <color rgb="FF008000"/>
      <sz val="10"/>
    </font>
    <font>
      <name val="Arial"/>
      <i val="1"/>
      <color rgb="FFC00000"/>
      <sz val="8"/>
    </font>
    <font>
      <name val="Arial"/>
      <b val="1"/>
      <color rgb="FF0000FF"/>
      <sz val="9"/>
    </font>
    <font>
      <name val="Arial"/>
      <b val="1"/>
      <color theme="1"/>
      <sz val="9"/>
    </font>
    <font>
      <name val="Arial"/>
      <b val="1"/>
      <color rgb="FF008000"/>
      <sz val="9"/>
    </font>
    <font>
      <name val="Arial"/>
      <i val="1"/>
      <color rgb="FF595959"/>
      <sz val="8"/>
    </font>
    <font>
      <name val="Arial"/>
      <color rgb="FFC00000"/>
      <sz val="8"/>
    </font>
    <font>
      <name val="Arial"/>
      <b val="1"/>
      <sz val="10"/>
    </font>
    <font>
      <name val="Arial"/>
      <b val="1"/>
      <sz val="9"/>
    </font>
    <font>
      <name val="Arial"/>
      <i val="1"/>
      <color rgb="FF808080"/>
      <sz val="8"/>
    </font>
  </fonts>
  <fills count="9">
    <fill>
      <patternFill/>
    </fill>
    <fill>
      <patternFill patternType="lightGray"/>
    </fill>
    <fill>
      <patternFill patternType="solid">
        <fgColor rgb="FF1F3864"/>
        <bgColor rgb="FF1F3864"/>
      </patternFill>
    </fill>
    <fill>
      <patternFill patternType="solid">
        <fgColor rgb="FFBDD7EE"/>
        <bgColor rgb="FFBDD7EE"/>
      </patternFill>
    </fill>
    <fill>
      <patternFill patternType="solid">
        <fgColor rgb="FFDEEAF1"/>
        <bgColor rgb="FFDEEAF1"/>
      </patternFill>
    </fill>
    <fill>
      <patternFill patternType="solid">
        <fgColor rgb="FFF2F2F2"/>
        <bgColor rgb="FFF2F2F2"/>
      </patternFill>
    </fill>
    <fill>
      <patternFill patternType="solid">
        <fgColor rgb="FFFFFFFF"/>
        <bgColor rgb="FFFFFFFF"/>
      </patternFill>
    </fill>
    <fill>
      <patternFill patternType="solid">
        <fgColor rgb="FFE2EFDA"/>
        <bgColor rgb="FFE2EFDA"/>
      </patternFill>
    </fill>
    <fill>
      <patternFill patternType="solid">
        <fgColor rgb="FFFCE4D6"/>
        <bgColor rgb="FFFCE4D6"/>
      </patternFill>
    </fill>
  </fills>
  <borders count="5">
    <border/>
    <border>
      <left/>
      <top/>
      <bottom/>
    </border>
    <border>
      <top/>
      <bottom/>
    </border>
    <border>
      <right/>
      <top/>
      <bottom/>
    </border>
    <border>
      <left/>
      <right/>
      <top/>
      <bottom/>
    </border>
  </borders>
  <cellStyleXfs count="1">
    <xf numFmtId="0" fontId="0" fillId="0" borderId="0"/>
  </cellStyleXfs>
  <cellXfs count="134">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0" borderId="0" applyAlignment="1" pivotButton="0" quotePrefix="0" xfId="0">
      <alignment vertical="bottom"/>
    </xf>
    <xf numFmtId="0" fontId="4" fillId="2" borderId="1" applyAlignment="1" pivotButton="0" quotePrefix="0" xfId="0">
      <alignment horizontal="center" vertical="center"/>
    </xf>
    <xf numFmtId="0" fontId="5" fillId="3" borderId="1" applyAlignment="1" pivotButton="0" quotePrefix="0" xfId="0">
      <alignment horizontal="left" vertical="center"/>
    </xf>
    <xf numFmtId="0" fontId="6" fillId="0" borderId="0" applyAlignment="1" pivotButton="0" quotePrefix="0" xfId="0">
      <alignment horizontal="left" vertical="center"/>
    </xf>
    <xf numFmtId="164" fontId="7" fillId="0" borderId="0" applyAlignment="1" pivotButton="0" quotePrefix="0" xfId="0">
      <alignment horizontal="right" vertical="center"/>
    </xf>
    <xf numFmtId="0" fontId="8" fillId="0" borderId="0" applyAlignment="1" pivotButton="0" quotePrefix="0" xfId="0">
      <alignment horizontal="left" vertical="center"/>
    </xf>
    <xf numFmtId="165" fontId="7" fillId="0" borderId="0" applyAlignment="1" pivotButton="0" quotePrefix="0" xfId="0">
      <alignment horizontal="right" vertical="center"/>
    </xf>
    <xf numFmtId="165" fontId="7" fillId="0" borderId="0" applyAlignment="1" pivotButton="0" quotePrefix="0" xfId="0">
      <alignment horizontal="right" vertical="center"/>
    </xf>
    <xf numFmtId="166" fontId="7" fillId="0" borderId="0" applyAlignment="1" pivotButton="0" quotePrefix="0" xfId="0">
      <alignment horizontal="right" vertical="center"/>
    </xf>
    <xf numFmtId="0" fontId="9" fillId="4" borderId="4" applyAlignment="1" pivotButton="0" quotePrefix="0" xfId="0">
      <alignment vertical="bottom"/>
    </xf>
    <xf numFmtId="0" fontId="9" fillId="4" borderId="4" applyAlignment="1" pivotButton="0" quotePrefix="0" xfId="0">
      <alignment horizontal="center" vertical="center" wrapText="1"/>
    </xf>
    <xf numFmtId="167" fontId="7" fillId="0" borderId="0" applyAlignment="1" pivotButton="0" quotePrefix="0" xfId="0">
      <alignment horizontal="right" vertical="center"/>
    </xf>
    <xf numFmtId="168" fontId="7" fillId="0" borderId="0" applyAlignment="1" pivotButton="0" quotePrefix="0" xfId="0">
      <alignment horizontal="right" vertical="center"/>
    </xf>
    <xf numFmtId="9" fontId="7" fillId="0" borderId="0" applyAlignment="1" pivotButton="0" quotePrefix="0" xfId="0">
      <alignment horizontal="right" vertical="center"/>
    </xf>
    <xf numFmtId="0" fontId="4" fillId="2" borderId="0" applyAlignment="1" pivotButton="0" quotePrefix="0" xfId="0">
      <alignment horizontal="center" vertical="center"/>
    </xf>
    <xf numFmtId="0" fontId="9" fillId="4" borderId="4" applyAlignment="1" pivotButton="0" quotePrefix="0" xfId="0">
      <alignment horizontal="center" vertical="center" wrapText="1"/>
    </xf>
    <xf numFmtId="0" fontId="10" fillId="3" borderId="4" applyAlignment="1" pivotButton="0" quotePrefix="0" xfId="0">
      <alignment horizontal="center" vertical="center" wrapText="1"/>
    </xf>
    <xf numFmtId="169" fontId="7" fillId="0" borderId="0" applyAlignment="1" pivotButton="0" quotePrefix="0" xfId="0">
      <alignment horizontal="right" vertical="center"/>
    </xf>
    <xf numFmtId="165" fontId="11" fillId="5" borderId="4" applyAlignment="1" pivotButton="0" quotePrefix="0" xfId="0">
      <alignment horizontal="right" vertical="center"/>
    </xf>
    <xf numFmtId="168" fontId="7" fillId="0" borderId="0" applyAlignment="1" pivotButton="0" quotePrefix="0" xfId="0">
      <alignment horizontal="right" vertical="center"/>
    </xf>
    <xf numFmtId="0" fontId="9" fillId="0" borderId="0" applyAlignment="1" pivotButton="0" quotePrefix="0" xfId="0">
      <alignment horizontal="left" vertical="center"/>
    </xf>
    <xf numFmtId="168" fontId="9" fillId="0" borderId="0" applyAlignment="1" pivotButton="0" quotePrefix="0" xfId="0">
      <alignment horizontal="right" vertical="center"/>
    </xf>
    <xf numFmtId="165" fontId="12" fillId="5" borderId="4" applyAlignment="1" pivotButton="0" quotePrefix="0" xfId="0">
      <alignment horizontal="right" vertical="center"/>
    </xf>
    <xf numFmtId="0" fontId="5" fillId="3" borderId="4" applyAlignment="1" pivotButton="0" quotePrefix="0" xfId="0">
      <alignment horizontal="left" vertical="center"/>
    </xf>
    <xf numFmtId="0" fontId="10" fillId="3" borderId="0" applyAlignment="1" pivotButton="0" quotePrefix="0" xfId="0">
      <alignment horizontal="center" vertical="center" wrapText="1"/>
    </xf>
    <xf numFmtId="0" fontId="13" fillId="0" borderId="0" applyAlignment="1" pivotButton="0" quotePrefix="0" xfId="0">
      <alignment horizontal="left" vertical="center"/>
    </xf>
    <xf numFmtId="165" fontId="14" fillId="6" borderId="4" applyAlignment="1" pivotButton="0" quotePrefix="0" xfId="0">
      <alignment horizontal="center" vertical="center"/>
    </xf>
    <xf numFmtId="0" fontId="14" fillId="0" borderId="0" applyAlignment="1" pivotButton="0" quotePrefix="0" xfId="0">
      <alignment horizontal="left" vertical="center"/>
    </xf>
    <xf numFmtId="170" fontId="15" fillId="6" borderId="4" applyAlignment="1" pivotButton="0" quotePrefix="0" xfId="0">
      <alignment horizontal="center" vertical="center"/>
    </xf>
    <xf numFmtId="0" fontId="15" fillId="0" borderId="0" applyAlignment="1" pivotButton="0" quotePrefix="0" xfId="0">
      <alignment horizontal="left" vertical="center"/>
    </xf>
    <xf numFmtId="165" fontId="11" fillId="0" borderId="0" applyAlignment="1" pivotButton="0" quotePrefix="0" xfId="0">
      <alignment horizontal="right" vertical="center"/>
    </xf>
    <xf numFmtId="3" fontId="14" fillId="6" borderId="4" applyAlignment="1" pivotButton="0" quotePrefix="0" xfId="0">
      <alignment horizontal="center" vertical="center"/>
    </xf>
    <xf numFmtId="165" fontId="15" fillId="6" borderId="4" applyAlignment="1" pivotButton="0" quotePrefix="0" xfId="0">
      <alignment horizontal="right" vertical="center"/>
    </xf>
    <xf numFmtId="165" fontId="13" fillId="6" borderId="4" applyAlignment="1" pivotButton="0" quotePrefix="0" xfId="0">
      <alignment horizontal="right" vertical="center"/>
    </xf>
    <xf numFmtId="168" fontId="15" fillId="6" borderId="4" applyAlignment="1" pivotButton="0" quotePrefix="0" xfId="0">
      <alignment horizontal="right" vertical="center"/>
    </xf>
    <xf numFmtId="168" fontId="13" fillId="6" borderId="4" applyAlignment="1" pivotButton="0" quotePrefix="0" xfId="0">
      <alignment horizontal="right" vertical="center"/>
    </xf>
    <xf numFmtId="168" fontId="14" fillId="6" borderId="4" applyAlignment="1" pivotButton="0" quotePrefix="0" xfId="0">
      <alignment horizontal="right" vertical="center"/>
    </xf>
    <xf numFmtId="168" fontId="16" fillId="6" borderId="4" applyAlignment="1" pivotButton="0" quotePrefix="0" xfId="0">
      <alignment horizontal="right" vertical="center"/>
    </xf>
    <xf numFmtId="165" fontId="12" fillId="0" borderId="0" applyAlignment="1" pivotButton="0" quotePrefix="0" xfId="0">
      <alignment horizontal="right" vertical="center"/>
    </xf>
    <xf numFmtId="168" fontId="16" fillId="7" borderId="4" applyAlignment="1" pivotButton="0" quotePrefix="0" xfId="0">
      <alignment horizontal="right" vertical="center"/>
    </xf>
    <xf numFmtId="168" fontId="11" fillId="5" borderId="4" applyAlignment="1" pivotButton="0" quotePrefix="0" xfId="0">
      <alignment horizontal="right" vertical="center"/>
    </xf>
    <xf numFmtId="168" fontId="16" fillId="7" borderId="0" applyAlignment="1" pivotButton="0" quotePrefix="0" xfId="0">
      <alignment horizontal="right" vertical="center"/>
    </xf>
    <xf numFmtId="165" fontId="14" fillId="6" borderId="4" applyAlignment="1" pivotButton="0" quotePrefix="0" xfId="0">
      <alignment horizontal="center" vertical="center"/>
    </xf>
    <xf numFmtId="3" fontId="14" fillId="6" borderId="4" applyAlignment="1" pivotButton="0" quotePrefix="0" xfId="0">
      <alignment horizontal="center" vertical="center"/>
    </xf>
    <xf numFmtId="168" fontId="12" fillId="5" borderId="4" applyAlignment="1" pivotButton="0" quotePrefix="0" xfId="0">
      <alignment horizontal="right" vertical="center"/>
    </xf>
    <xf numFmtId="0" fontId="17" fillId="0" borderId="0" applyAlignment="1" pivotButton="0" quotePrefix="0" xfId="0">
      <alignment horizontal="left" vertical="center"/>
    </xf>
    <xf numFmtId="0" fontId="16" fillId="3" borderId="1" applyAlignment="1" pivotButton="0" quotePrefix="0" xfId="0">
      <alignment horizontal="left" vertical="center"/>
    </xf>
    <xf numFmtId="0" fontId="16" fillId="8" borderId="1" applyAlignment="1" pivotButton="0" quotePrefix="0" xfId="0">
      <alignment horizontal="left" vertical="center"/>
    </xf>
    <xf numFmtId="0" fontId="10" fillId="8" borderId="4" applyAlignment="1" pivotButton="0" quotePrefix="0" xfId="0">
      <alignment horizontal="center" vertical="center" wrapText="1"/>
    </xf>
    <xf numFmtId="0" fontId="10" fillId="8" borderId="4" applyAlignment="1" pivotButton="0" quotePrefix="0" xfId="0">
      <alignment horizontal="center" vertical="center" wrapText="1"/>
    </xf>
    <xf numFmtId="0" fontId="10" fillId="8" borderId="4" applyAlignment="1" pivotButton="0" quotePrefix="0" xfId="0">
      <alignment horizontal="left" vertical="center" wrapText="1"/>
    </xf>
    <xf numFmtId="3" fontId="15" fillId="6" borderId="4" applyAlignment="1" pivotButton="0" quotePrefix="0" xfId="0">
      <alignment horizontal="center" vertical="center"/>
    </xf>
    <xf numFmtId="168" fontId="16" fillId="8" borderId="4" applyAlignment="1" pivotButton="0" quotePrefix="0" xfId="0">
      <alignment horizontal="right" vertical="center"/>
    </xf>
    <xf numFmtId="0" fontId="18" fillId="8" borderId="4" applyAlignment="1" pivotButton="0" quotePrefix="0" xfId="0">
      <alignment horizontal="left" vertical="center"/>
    </xf>
    <xf numFmtId="165" fontId="14" fillId="5" borderId="4" applyAlignment="1" pivotButton="0" quotePrefix="0" xfId="0">
      <alignment horizontal="center" vertical="center"/>
    </xf>
    <xf numFmtId="170" fontId="15" fillId="5" borderId="4" applyAlignment="1" pivotButton="0" quotePrefix="0" xfId="0">
      <alignment horizontal="center" vertical="center"/>
    </xf>
    <xf numFmtId="3" fontId="15" fillId="5" borderId="4" applyAlignment="1" pivotButton="0" quotePrefix="0" xfId="0">
      <alignment horizontal="center" vertical="center"/>
    </xf>
    <xf numFmtId="168" fontId="11" fillId="0" borderId="0" applyAlignment="1" pivotButton="0" quotePrefix="0" xfId="0">
      <alignment horizontal="right" vertical="center"/>
    </xf>
    <xf numFmtId="165" fontId="15" fillId="5" borderId="4" applyAlignment="1" pivotButton="0" quotePrefix="0" xfId="0">
      <alignment horizontal="right" vertical="center"/>
    </xf>
    <xf numFmtId="168" fontId="15" fillId="5" borderId="4" applyAlignment="1" pivotButton="0" quotePrefix="0" xfId="0">
      <alignment horizontal="right" vertical="center"/>
    </xf>
    <xf numFmtId="168" fontId="14" fillId="5" borderId="4" applyAlignment="1" pivotButton="0" quotePrefix="0" xfId="0">
      <alignment horizontal="right" vertical="center"/>
    </xf>
    <xf numFmtId="168" fontId="12" fillId="0" borderId="0" applyAlignment="1" pivotButton="0" quotePrefix="0" xfId="0">
      <alignment horizontal="right" vertical="center"/>
    </xf>
    <xf numFmtId="3" fontId="14" fillId="5" borderId="4" applyAlignment="1" pivotButton="0" quotePrefix="0" xfId="0">
      <alignment horizontal="center" vertical="center"/>
    </xf>
    <xf numFmtId="168" fontId="16" fillId="5" borderId="4" applyAlignment="1" pivotButton="0" quotePrefix="0" xfId="0">
      <alignment horizontal="right" vertical="center"/>
    </xf>
    <xf numFmtId="168" fontId="14" fillId="5" borderId="4" applyAlignment="1" pivotButton="0" quotePrefix="0" xfId="0">
      <alignment horizontal="right" vertical="center"/>
    </xf>
    <xf numFmtId="0" fontId="18" fillId="8" borderId="4" applyAlignment="1" pivotButton="0" quotePrefix="0" xfId="0">
      <alignment horizontal="left" vertical="center"/>
    </xf>
    <xf numFmtId="168" fontId="19" fillId="0" borderId="0" applyAlignment="1" pivotButton="0" quotePrefix="0" xfId="0">
      <alignment horizontal="right" vertical="center"/>
    </xf>
    <xf numFmtId="168" fontId="5" fillId="0" borderId="0" applyAlignment="1" pivotButton="0" quotePrefix="0" xfId="0">
      <alignment horizontal="right" vertical="center"/>
    </xf>
    <xf numFmtId="168" fontId="19" fillId="5" borderId="4" applyAlignment="1" pivotButton="0" quotePrefix="0" xfId="0">
      <alignment horizontal="right" vertical="center"/>
    </xf>
    <xf numFmtId="168" fontId="5" fillId="5" borderId="4" applyAlignment="1" pivotButton="0" quotePrefix="0" xfId="0">
      <alignment horizontal="right" vertical="center"/>
    </xf>
    <xf numFmtId="0" fontId="20" fillId="8" borderId="4" applyAlignment="1" pivotButton="0" quotePrefix="0" xfId="0">
      <alignment horizontal="left" vertical="center"/>
    </xf>
    <xf numFmtId="168" fontId="21" fillId="8" borderId="4" applyAlignment="1" pivotButton="0" quotePrefix="0" xfId="0">
      <alignment horizontal="right" vertical="center"/>
    </xf>
    <xf numFmtId="0" fontId="9" fillId="3" borderId="1" applyAlignment="1" pivotButton="0" quotePrefix="0" xfId="0">
      <alignment horizontal="left" vertical="center"/>
    </xf>
    <xf numFmtId="0" fontId="9" fillId="8" borderId="1" applyAlignment="1" pivotButton="0" quotePrefix="0" xfId="0">
      <alignment horizontal="center" vertical="center"/>
    </xf>
    <xf numFmtId="0" fontId="6" fillId="5" borderId="1" applyAlignment="1" pivotButton="0" quotePrefix="0" xfId="0">
      <alignment horizontal="left" vertical="center"/>
    </xf>
    <xf numFmtId="168" fontId="9" fillId="8" borderId="1" applyAlignment="1" pivotButton="0" quotePrefix="0" xfId="0">
      <alignment horizontal="right" vertical="center"/>
    </xf>
    <xf numFmtId="0" fontId="22" fillId="3" borderId="4" applyAlignment="1" pivotButton="0" quotePrefix="0" xfId="0">
      <alignment horizontal="center" vertical="center" wrapText="1"/>
    </xf>
    <xf numFmtId="49" fontId="9" fillId="8" borderId="1" applyAlignment="1" pivotButton="0" quotePrefix="0" xfId="0">
      <alignment horizontal="right" vertical="center"/>
    </xf>
    <xf numFmtId="3" fontId="15" fillId="6" borderId="4" applyAlignment="1" pivotButton="0" quotePrefix="0" xfId="0">
      <alignment horizontal="right" vertical="center"/>
    </xf>
    <xf numFmtId="168" fontId="23" fillId="6" borderId="4" applyAlignment="1" pivotButton="0" quotePrefix="0" xfId="0">
      <alignment horizontal="right" vertical="center"/>
    </xf>
    <xf numFmtId="3" fontId="5" fillId="0" borderId="0" applyAlignment="1" pivotButton="0" quotePrefix="0" xfId="0">
      <alignment horizontal="right" vertical="center"/>
    </xf>
    <xf numFmtId="0" fontId="0" fillId="0" borderId="0" pivotButton="0" quotePrefix="0" xfId="0"/>
    <xf numFmtId="0" fontId="1" fillId="2" borderId="4" applyAlignment="1" pivotButton="0" quotePrefix="0" xfId="0">
      <alignment horizontal="left" vertical="center"/>
    </xf>
    <xf numFmtId="0" fontId="5" fillId="3" borderId="0" applyAlignment="1" pivotButton="0" quotePrefix="0" xfId="0">
      <alignment vertical="bottom"/>
    </xf>
    <xf numFmtId="168" fontId="7" fillId="0" borderId="0" applyAlignment="1" pivotButton="0" quotePrefix="0" xfId="0">
      <alignment vertical="bottom"/>
    </xf>
    <xf numFmtId="0" fontId="8" fillId="0" borderId="0" applyAlignment="1" pivotButton="0" quotePrefix="0" xfId="0">
      <alignment vertical="bottom"/>
    </xf>
    <xf numFmtId="165" fontId="7" fillId="0" borderId="0" applyAlignment="1" pivotButton="0" quotePrefix="0" xfId="0">
      <alignment vertical="bottom"/>
    </xf>
    <xf numFmtId="166" fontId="7" fillId="0" borderId="0" applyAlignment="1" pivotButton="0" quotePrefix="0" xfId="0">
      <alignment vertical="bottom"/>
    </xf>
    <xf numFmtId="0" fontId="24" fillId="0" borderId="0" applyAlignment="1" pivotButton="0" quotePrefix="0" xfId="0">
      <alignment vertical="bottom"/>
    </xf>
    <xf numFmtId="0" fontId="4" fillId="2" borderId="4" applyAlignment="1" pivotButton="0" quotePrefix="0" xfId="0">
      <alignment horizontal="center" vertical="center"/>
    </xf>
    <xf numFmtId="0" fontId="16" fillId="3" borderId="4" applyAlignment="1" pivotButton="0" quotePrefix="0" xfId="0">
      <alignment horizontal="left" vertical="center"/>
    </xf>
    <xf numFmtId="0" fontId="16" fillId="8" borderId="4" applyAlignment="1" pivotButton="0" quotePrefix="0" xfId="0">
      <alignment horizontal="left" vertical="center"/>
    </xf>
    <xf numFmtId="0" fontId="9" fillId="3" borderId="4" applyAlignment="1" pivotButton="0" quotePrefix="0" xfId="0">
      <alignment horizontal="left" vertical="center"/>
    </xf>
    <xf numFmtId="0" fontId="9" fillId="8" borderId="4" applyAlignment="1" pivotButton="0" quotePrefix="0" xfId="0">
      <alignment horizontal="center" vertical="center"/>
    </xf>
    <xf numFmtId="0" fontId="6" fillId="5" borderId="4" applyAlignment="1" pivotButton="0" quotePrefix="0" xfId="0">
      <alignment horizontal="left" vertical="center"/>
    </xf>
    <xf numFmtId="168" fontId="9" fillId="8" borderId="4" applyAlignment="1" pivotButton="0" quotePrefix="0" xfId="0">
      <alignment horizontal="right" vertical="center"/>
    </xf>
    <xf numFmtId="49" fontId="9" fillId="8" borderId="4" applyAlignment="1" pivotButton="0" quotePrefix="0" xfId="0">
      <alignment horizontal="right" vertical="center"/>
    </xf>
    <xf numFmtId="0" fontId="4" fillId="2" borderId="0" applyAlignment="1" pivotButton="0" quotePrefix="0" xfId="0">
      <alignment horizontal="center"/>
    </xf>
    <xf numFmtId="168" fontId="14" fillId="0" borderId="0" pivotButton="0" quotePrefix="0" xfId="0"/>
    <xf numFmtId="166" fontId="14" fillId="0" borderId="0" pivotButton="0" quotePrefix="0" xfId="0"/>
    <xf numFmtId="0" fontId="25" fillId="0" borderId="0" pivotButton="0" quotePrefix="0" xfId="0"/>
    <xf numFmtId="0" fontId="0" fillId="2" borderId="0" pivotButton="0" quotePrefix="0" xfId="0"/>
    <xf numFmtId="0" fontId="16" fillId="3" borderId="4" applyAlignment="1" pivotButton="0" quotePrefix="0" xfId="0">
      <alignment horizontal="center" vertical="center" wrapText="1"/>
    </xf>
    <xf numFmtId="0" fontId="16" fillId="3" borderId="0" applyAlignment="1" pivotButton="0" quotePrefix="0" xfId="0">
      <alignment horizontal="center" vertical="center" wrapText="1"/>
    </xf>
    <xf numFmtId="170" fontId="14" fillId="6" borderId="4" applyAlignment="1" pivotButton="0" quotePrefix="0" xfId="0">
      <alignment horizontal="center" vertical="center"/>
    </xf>
    <xf numFmtId="165" fontId="14" fillId="6" borderId="4" applyAlignment="1" pivotButton="0" quotePrefix="0" xfId="0">
      <alignment horizontal="right" vertical="center"/>
    </xf>
    <xf numFmtId="168" fontId="14" fillId="8" borderId="4" applyAlignment="1" pivotButton="0" quotePrefix="0" xfId="0">
      <alignment horizontal="right" vertical="center"/>
    </xf>
    <xf numFmtId="166" fontId="14" fillId="8" borderId="4" applyAlignment="1" pivotButton="0" quotePrefix="0" xfId="0">
      <alignment horizontal="left" vertical="center"/>
    </xf>
    <xf numFmtId="168" fontId="16" fillId="0" borderId="0" pivotButton="0" quotePrefix="0" xfId="0"/>
    <xf numFmtId="170" fontId="14" fillId="5" borderId="4" applyAlignment="1" pivotButton="0" quotePrefix="0" xfId="0">
      <alignment horizontal="center" vertical="center"/>
    </xf>
    <xf numFmtId="165" fontId="14" fillId="5" borderId="4" applyAlignment="1" pivotButton="0" quotePrefix="0" xfId="0">
      <alignment horizontal="right" vertical="center"/>
    </xf>
    <xf numFmtId="0" fontId="26" fillId="3" borderId="4" applyAlignment="1" pivotButton="0" quotePrefix="0" xfId="0">
      <alignment horizontal="left" vertical="center"/>
    </xf>
    <xf numFmtId="0" fontId="14" fillId="3" borderId="4" applyAlignment="1" pivotButton="0" quotePrefix="0" xfId="0">
      <alignment horizontal="left" vertical="center"/>
    </xf>
    <xf numFmtId="168" fontId="16" fillId="8" borderId="4" applyAlignment="1" pivotButton="0" quotePrefix="0" xfId="0">
      <alignment horizontal="center" vertical="center"/>
    </xf>
    <xf numFmtId="0" fontId="14" fillId="5" borderId="4" applyAlignment="1" pivotButton="0" quotePrefix="0" xfId="0">
      <alignment horizontal="left" vertical="center"/>
    </xf>
    <xf numFmtId="3" fontId="16" fillId="8" borderId="4" applyAlignment="1" pivotButton="0" quotePrefix="0" xfId="0">
      <alignment horizontal="right" vertical="center"/>
    </xf>
    <xf numFmtId="0" fontId="14" fillId="0" borderId="0" pivotButton="0" quotePrefix="0" xfId="0"/>
    <xf numFmtId="166" fontId="16" fillId="0" borderId="0" pivotButton="0" quotePrefix="0" xfId="0"/>
    <xf numFmtId="0" fontId="24" fillId="0" borderId="0" applyAlignment="1" pivotButton="0" quotePrefix="0" xfId="0">
      <alignment horizontal="left" vertical="center"/>
    </xf>
    <xf numFmtId="0" fontId="27" fillId="3" borderId="4" applyAlignment="1" pivotButton="0" quotePrefix="0" xfId="0">
      <alignment horizontal="center" vertical="center" wrapText="1"/>
    </xf>
    <xf numFmtId="0" fontId="27" fillId="3" borderId="0" applyAlignment="1" pivotButton="0" quotePrefix="0" xfId="0">
      <alignment horizontal="center" vertical="center" wrapText="1"/>
    </xf>
    <xf numFmtId="3" fontId="14" fillId="6" borderId="4" applyAlignment="1" pivotButton="0" quotePrefix="0" xfId="0">
      <alignment horizontal="right" vertical="center"/>
    </xf>
    <xf numFmtId="166" fontId="14" fillId="6" borderId="4" applyAlignment="1" pivotButton="0" quotePrefix="0" xfId="0">
      <alignment horizontal="right" vertical="center"/>
    </xf>
    <xf numFmtId="165" fontId="26" fillId="3" borderId="4" applyAlignment="1" pivotButton="0" quotePrefix="0" xfId="0">
      <alignment horizontal="center" vertical="center"/>
    </xf>
    <xf numFmtId="3" fontId="16" fillId="6" borderId="4" applyAlignment="1" pivotButton="0" quotePrefix="0" xfId="0">
      <alignment horizontal="right" vertical="center"/>
    </xf>
    <xf numFmtId="166" fontId="16" fillId="6" borderId="4" applyAlignment="1" pivotButton="0" quotePrefix="0" xfId="0">
      <alignment horizontal="right" vertical="center"/>
    </xf>
    <xf numFmtId="165" fontId="24" fillId="6" borderId="4" applyAlignment="1" pivotButton="0" quotePrefix="0" xfId="0">
      <alignment horizontal="center" vertical="center"/>
    </xf>
    <xf numFmtId="0" fontId="28" fillId="0" borderId="0" applyAlignment="1" pivotButton="0" quotePrefix="0" xfId="0">
      <alignment vertical="bottom"/>
    </xf>
    <xf numFmtId="165" fontId="14" fillId="0" borderId="0" pivotButton="0" quotePrefix="0" xfId="0"/>
    <xf numFmtId="0" fontId="10" fillId="3" borderId="0" applyAlignment="1" pivotButton="0" quotePrefix="0" xfId="0">
      <alignment horizontal="center"/>
    </xf>
  </cellXfs>
  <cellStyles count="1">
    <cellStyle name="Normal" xfId="0" builtinId="0"/>
  </cellStyles>
  <dxfs count="1">
    <dxf>
      <fill>
        <patternFill patternType="solid">
          <fgColor rgb="FFFCE4B4"/>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Cash Position: Equity Only vs. Debt-Financed</a:t>
            </a:r>
          </a:p>
        </rich>
      </tx>
      <overlay val="0"/>
    </title>
    <plotArea>
      <layout/>
      <lineChart>
        <grouping val="standard"/>
        <varyColors val="0"/>
        <ser>
          <idx val="0"/>
          <order val="0"/>
          <tx>
            <v>Equity-Only
Cash ($)</v>
          </tx>
          <spPr>
            <a:ln xmlns:a="http://schemas.openxmlformats.org/drawingml/2006/main" w="9525" cmpd="sng">
              <a:solidFill>
                <a:srgbClr val="C00000"/>
              </a:solidFill>
              <a:prstDash val="solid"/>
            </a:ln>
          </spPr>
          <marker>
            <symbol val="none"/>
            <spPr>
              <a:ln xmlns:a="http://schemas.openxmlformats.org/drawingml/2006/main">
                <a:prstDash val="solid"/>
              </a:ln>
            </spPr>
          </marker>
          <cat>
            <strRef>
              <f>'Cash &amp; Raises'!$A$6:$A$65</f>
            </strRef>
          </cat>
          <val>
            <numRef>
              <f>'Cash &amp; Raises'!$H$6:$H$65</f>
              <numCache/>
            </numRef>
          </val>
          <smooth val="1"/>
        </ser>
        <axId val="1394010606"/>
        <axId val="1924457494"/>
      </lineChart>
      <catAx>
        <axId val="1394010606"/>
        <scaling>
          <orientation val="minMax"/>
        </scaling>
        <delete val="0"/>
        <axPos val="b"/>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Month</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1924457494"/>
        <lblOffset val="100"/>
      </catAx>
      <valAx>
        <axId val="1924457494"/>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Cash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1394010606"/>
      </valAx>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81</row>
      <rowOff>0</rowOff>
    </from>
    <ext cx="8867775" cy="52863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1000"/>
  <sheetViews>
    <sheetView showGridLines="0" workbookViewId="0">
      <selection activeCell="A1" sqref="A1"/>
    </sheetView>
  </sheetViews>
  <sheetFormatPr baseColWidth="8" defaultColWidth="14.43" defaultRowHeight="15" customHeight="1"/>
  <cols>
    <col width="46" customWidth="1" style="85" min="1" max="1"/>
    <col width="18" customWidth="1" style="85" min="2" max="2"/>
    <col width="36" customWidth="1" style="85" min="3" max="3"/>
    <col width="8.710000000000001" customWidth="1" style="85" min="4" max="26"/>
  </cols>
  <sheetData>
    <row r="1" ht="24" customHeight="1" s="85">
      <c r="A1" s="86" t="inlineStr">
        <is>
          <t xml:space="preserve">  VetFinance  |  5-Year Financial Forecast  |  Assumptions</t>
        </is>
      </c>
    </row>
    <row r="2" ht="6" customHeight="1" s="85">
      <c r="A2" s="4" t="n"/>
      <c r="B2" s="4" t="n"/>
      <c r="C2" s="4" t="n"/>
    </row>
    <row r="3" ht="16.5" customHeight="1" s="85">
      <c r="A3" s="27" t="inlineStr">
        <is>
          <t xml:space="preserve">  PRACTICE GROWTH</t>
        </is>
      </c>
    </row>
    <row r="4" ht="15.75" customHeight="1" s="85">
      <c r="A4" s="7" t="inlineStr">
        <is>
          <t>Model start date</t>
        </is>
      </c>
      <c r="B4" s="8" t="n">
        <v>46569</v>
      </c>
      <c r="C4" s="9" t="inlineStr">
        <is>
          <t>First month of operations</t>
        </is>
      </c>
    </row>
    <row r="5" ht="15.75" customHeight="1" s="85">
      <c r="A5" s="7" t="inlineStr">
        <is>
          <t>Practices active at launch (Month 1)</t>
        </is>
      </c>
      <c r="B5" s="11" t="n">
        <v>1</v>
      </c>
      <c r="C5" s="9" t="inlineStr">
        <is>
          <t>Founding / pilot clinics</t>
        </is>
      </c>
    </row>
    <row r="6" ht="15.75" customHeight="1" s="85">
      <c r="A6" s="7" t="inlineStr">
        <is>
          <t>New practices signed per month — Year 1</t>
        </is>
      </c>
      <c r="B6" s="11" t="n">
        <v>6</v>
      </c>
      <c r="C6" s="9" t="inlineStr">
        <is>
          <t>Early-adopter ramp</t>
        </is>
      </c>
    </row>
    <row r="7" ht="15.75" customHeight="1" s="85">
      <c r="A7" s="7" t="inlineStr">
        <is>
          <t>New practices signed per month — Year 2</t>
        </is>
      </c>
      <c r="B7" s="11" t="n">
        <v>18</v>
      </c>
      <c r="C7" s="4" t="n"/>
    </row>
    <row r="8" ht="15.75" customHeight="1" s="85">
      <c r="A8" s="7" t="inlineStr">
        <is>
          <t>New practices signed per month — Year 3</t>
        </is>
      </c>
      <c r="B8" s="11" t="n">
        <v>25</v>
      </c>
      <c r="C8" s="4" t="n"/>
    </row>
    <row r="9" ht="15.75" customHeight="1" s="85">
      <c r="A9" s="7" t="inlineStr">
        <is>
          <t>New practices signed per month — Year 4</t>
        </is>
      </c>
      <c r="B9" s="11" t="n">
        <v>20</v>
      </c>
      <c r="C9" s="9" t="inlineStr">
        <is>
          <t>Growth moderating</t>
        </is>
      </c>
    </row>
    <row r="10" ht="15.75" customHeight="1" s="85">
      <c r="A10" s="7" t="inlineStr">
        <is>
          <t>New practices signed per month — Year 5</t>
        </is>
      </c>
      <c r="B10" s="11" t="n">
        <v>12</v>
      </c>
      <c r="C10" s="9" t="inlineStr">
        <is>
          <t>Market maturing</t>
        </is>
      </c>
    </row>
    <row r="11" ht="15.75" customHeight="1" s="85">
      <c r="A11" s="7" t="inlineStr">
        <is>
          <t>Monthly churn rate (% of active practices)</t>
        </is>
      </c>
      <c r="B11" s="12" t="n">
        <v>0.005</v>
      </c>
      <c r="C11" s="9" t="inlineStr">
        <is>
          <t>~6% annually; practices leaving</t>
        </is>
      </c>
    </row>
    <row r="12" ht="6" customHeight="1" s="85">
      <c r="A12" s="4" t="n"/>
      <c r="B12" s="4" t="n"/>
      <c r="C12" s="4" t="n"/>
    </row>
    <row r="13" ht="16.5" customHeight="1" s="85">
      <c r="A13" s="27" t="inlineStr">
        <is>
          <t xml:space="preserve">  LOAN ECONOMICS</t>
        </is>
      </c>
    </row>
    <row r="14" ht="15.75" customHeight="1" s="85">
      <c r="A14" s="7" t="inlineStr">
        <is>
          <t>Referrals per practice per week</t>
        </is>
      </c>
      <c r="B14" s="15" t="n">
        <v>2</v>
      </c>
      <c r="C14" s="9" t="inlineStr">
        <is>
          <t>Pet-owner referrals sent to financing</t>
        </is>
      </c>
    </row>
    <row r="15" ht="15.75" customHeight="1" s="85">
      <c r="A15" s="7" t="inlineStr">
        <is>
          <t>Application approval rate</t>
        </is>
      </c>
      <c r="B15" s="12" t="n">
        <v>0.65</v>
      </c>
      <c r="C15" s="9" t="inlineStr">
        <is>
          <t>% of referrals approved &amp; funded</t>
        </is>
      </c>
    </row>
    <row r="16" ht="15.75" customHeight="1" s="85">
      <c r="A16" s="7" t="inlineStr">
        <is>
          <t>Average loan size ($)</t>
        </is>
      </c>
      <c r="B16" s="23" t="n">
        <v>1800</v>
      </c>
      <c r="C16" s="9" t="inlineStr">
        <is>
          <t>Avg financed amount per approved loan</t>
        </is>
      </c>
    </row>
    <row r="17" ht="15.75" customHeight="1" s="85">
      <c r="A17" s="7" t="inlineStr">
        <is>
          <t>Average repayment period (months)</t>
        </is>
      </c>
      <c r="B17" s="11" t="n">
        <v>14</v>
      </c>
      <c r="C17" s="9" t="inlineStr">
        <is>
          <t>Avg expected loan duration</t>
        </is>
      </c>
    </row>
    <row r="18" ht="15.75" customHeight="1" s="85">
      <c r="A18" s="7" t="inlineStr">
        <is>
          <t>Annual interest rate charged to borrower (APR)</t>
        </is>
      </c>
      <c r="B18" s="17" t="n">
        <v>0.19</v>
      </c>
      <c r="C18" s="9" t="inlineStr">
        <is>
          <t>CareCredit charges 26.99% standard</t>
        </is>
      </c>
    </row>
    <row r="19" ht="15.75" customHeight="1" s="85">
      <c r="A19" s="7" t="inlineStr">
        <is>
          <t>Origination / processing fee (% of loan)</t>
        </is>
      </c>
      <c r="B19" s="12" t="n">
        <v>0.02</v>
      </c>
      <c r="C19" s="9" t="inlineStr">
        <is>
          <t>Collected upfront at funding</t>
        </is>
      </c>
    </row>
    <row r="20" ht="15.75" customHeight="1" s="85">
      <c r="A20" s="7" t="inlineStr">
        <is>
          <t>Annual net loss rate (% of avg portfolio)</t>
        </is>
      </c>
      <c r="B20" s="12" t="n">
        <v>0.06</v>
      </c>
      <c r="C20" s="9" t="inlineStr">
        <is>
          <t>Charge-offs net of recoveries</t>
        </is>
      </c>
    </row>
    <row r="21" ht="6" customHeight="1" s="85">
      <c r="A21" s="4" t="n"/>
      <c r="B21" s="4" t="n"/>
      <c r="C21" s="4" t="n"/>
    </row>
    <row r="22" ht="16.5" customHeight="1" s="85">
      <c r="A22" s="27" t="inlineStr">
        <is>
          <t xml:space="preserve">  FUNDING &amp; CAPITAL STRUCTURE</t>
        </is>
      </c>
    </row>
    <row r="23" ht="15.75" customHeight="1" s="85">
      <c r="A23" s="7" t="inlineStr">
        <is>
          <t>Annual cost of debt (warehouse / credit facility)</t>
        </is>
      </c>
      <c r="B23" s="12" t="n">
        <v>0.09</v>
      </c>
      <c r="C23" s="9" t="inlineStr">
        <is>
          <t>Interest on borrowed capital</t>
        </is>
      </c>
    </row>
    <row r="24" ht="15.75" customHeight="1" s="85">
      <c r="A24" s="7" t="inlineStr">
        <is>
          <t>Max leverage — debt ÷ equity on loan portfolio</t>
        </is>
      </c>
      <c r="B24" s="21" t="n">
        <v>7</v>
      </c>
      <c r="C24" s="9" t="inlineStr">
        <is>
          <t>3x = 75% debt / 25% equity funded</t>
        </is>
      </c>
    </row>
    <row r="25" ht="15.75" customHeight="1" s="85">
      <c r="A25" s="7" t="inlineStr">
        <is>
          <t>Minimum cash buffer (months of operating expenses)</t>
        </is>
      </c>
      <c r="B25" s="11" t="n">
        <v>6</v>
      </c>
      <c r="C25" s="9" t="inlineStr">
        <is>
          <t>Liquidity reserve on top of portfolio funding</t>
        </is>
      </c>
    </row>
    <row r="26" ht="6" customHeight="1" s="85">
      <c r="A26" s="4" t="n"/>
      <c r="B26" s="4" t="n"/>
      <c r="C26" s="4" t="n"/>
    </row>
    <row r="27" ht="16.5" customHeight="1" s="85">
      <c r="A27" s="27" t="inlineStr">
        <is>
          <t xml:space="preserve">  OPERATING EXPENSES  (Year 1 Annualised)</t>
        </is>
      </c>
    </row>
    <row r="28" ht="15.75" customHeight="1" s="85">
      <c r="A28" s="7" t="inlineStr">
        <is>
          <t>Salaries &amp; Benefits (4 FTEs)</t>
        </is>
      </c>
      <c r="B28" s="23">
        <f>(75000+65000)*1.2</f>
        <v/>
      </c>
      <c r="C28" s="9" t="inlineStr">
        <is>
          <t>2 founders @$60k, 1 underwriter @$75k, 1 ops @$65k (+20% taxes/benefits)</t>
        </is>
      </c>
    </row>
    <row r="29" ht="15.75" customHeight="1" s="85">
      <c r="A29" s="7" t="inlineStr">
        <is>
          <t>Technology &amp; Platform</t>
        </is>
      </c>
      <c r="B29" s="23" t="n">
        <v>63000</v>
      </c>
      <c r="C29" s="9" t="inlineStr">
        <is>
          <t>AWS $30k | Plaid $0.50/app ~$4k | Experian $1.50/app ~$12k | LOS/SaaS $12k | misc $5k</t>
        </is>
      </c>
    </row>
    <row r="30" ht="15.75" customHeight="1" s="85">
      <c r="A30" s="7" t="inlineStr">
        <is>
          <t>Sales &amp; Marketing</t>
        </is>
      </c>
      <c r="B30" s="23" t="n">
        <v>100000</v>
      </c>
      <c r="C30" s="9" t="inlineStr">
        <is>
          <t>Practice acquisition, collateral</t>
        </is>
      </c>
    </row>
    <row r="31" ht="15.75" customHeight="1" s="85">
      <c r="A31" s="7" t="inlineStr">
        <is>
          <t>Compliance &amp; Legal</t>
        </is>
      </c>
      <c r="B31" s="23" t="n">
        <v>150000</v>
      </c>
      <c r="C31" s="9" t="inlineStr">
        <is>
          <t>Licensing, counsel, audits</t>
        </is>
      </c>
    </row>
    <row r="32" ht="15.75" customHeight="1" s="85">
      <c r="A32" s="7" t="inlineStr">
        <is>
          <t>G&amp;A / Office</t>
        </is>
      </c>
      <c r="B32" s="23" t="n">
        <v>25000</v>
      </c>
      <c r="C32" s="9" t="inlineStr">
        <is>
          <t>Remote-first; virtual office, insurance, accounting — minimal footprint</t>
        </is>
      </c>
    </row>
    <row r="33" ht="15.75" customHeight="1" s="85">
      <c r="A33" s="24" t="inlineStr">
        <is>
          <t>Total Year 1 Annual Opex</t>
        </is>
      </c>
      <c r="B33" s="25">
        <f>SUM(B28:B32)</f>
        <v/>
      </c>
      <c r="C33" s="4" t="n"/>
    </row>
    <row r="34" ht="15.75" customHeight="1" s="85">
      <c r="A34" s="7" t="inlineStr">
        <is>
          <t>Annual opex growth rate (Year 2 onward)</t>
        </is>
      </c>
      <c r="B34" s="17" t="n">
        <v>0.5</v>
      </c>
      <c r="C34" s="9" t="inlineStr">
        <is>
          <t>Headcount &amp; infrastructure scaling</t>
        </is>
      </c>
    </row>
    <row r="35" ht="16.5" customHeight="1" s="85">
      <c r="A35" s="27" t="inlineStr">
        <is>
          <t xml:space="preserve">  STARTING CAPITAL</t>
        </is>
      </c>
    </row>
    <row r="36" ht="15.75" customHeight="1" s="85">
      <c r="A36" s="7" t="inlineStr">
        <is>
          <t>Initial equity raised before launch ($)</t>
        </is>
      </c>
      <c r="B36" s="23" t="n">
        <v>1000000</v>
      </c>
      <c r="C36" s="7" t="n"/>
    </row>
    <row r="37" ht="15" customHeight="1" s="85">
      <c r="A37" s="4" t="n"/>
      <c r="B37" s="4" t="n"/>
      <c r="C37" s="4" t="n"/>
    </row>
    <row r="38" ht="15" customHeight="1" s="85">
      <c r="A38" s="27" t="inlineStr">
        <is>
          <t xml:space="preserve">  COLOUR LEGEND</t>
        </is>
      </c>
      <c r="B38" s="4" t="n"/>
      <c r="C38" s="4" t="n"/>
    </row>
    <row r="39" ht="15" customHeight="1" s="85">
      <c r="A39" s="29" t="inlineStr">
        <is>
          <t xml:space="preserve">  ● Blue  = Hardcoded input — change these to model scenarios</t>
        </is>
      </c>
      <c r="B39" s="4" t="n"/>
      <c r="C39" s="4" t="n"/>
    </row>
    <row r="40" ht="15" customHeight="1" s="85">
      <c r="A40" s="31" t="inlineStr">
        <is>
          <t xml:space="preserve">  ● Black = Formula — do not edit</t>
        </is>
      </c>
      <c r="B40" s="4" t="n"/>
      <c r="C40" s="4" t="n"/>
    </row>
    <row r="41" ht="15" customHeight="1" s="85">
      <c r="A41" s="33" t="inlineStr">
        <is>
          <t xml:space="preserve">  ● Green = Cross-sheet link — do not edit</t>
        </is>
      </c>
      <c r="B41" s="4" t="n"/>
      <c r="C41" s="4" t="n"/>
    </row>
    <row r="42" ht="15.75" customHeight="1" s="85">
      <c r="A42" s="4" t="n"/>
      <c r="B42" s="4" t="n"/>
      <c r="C42" s="4" t="n"/>
    </row>
    <row r="43" ht="15.75" customHeight="1" s="85">
      <c r="A43" s="87" t="inlineStr">
        <is>
          <t xml:space="preserve">  WAREHOUSE FACILITY &amp; CASH MANAGEMENT</t>
        </is>
      </c>
      <c r="B43" s="4" t="n"/>
      <c r="C43" s="4" t="n"/>
    </row>
    <row r="44" ht="15.75" customHeight="1" s="85">
      <c r="A44" s="4" t="inlineStr">
        <is>
          <t>Warehouse facility committed limit ($)</t>
        </is>
      </c>
      <c r="B44" s="88" t="n">
        <v>10000000</v>
      </c>
      <c r="C44" s="89" t="inlineStr">
        <is>
          <t>Committed size of the revolving warehouse credit line</t>
        </is>
      </c>
    </row>
    <row r="45" ht="15.75" customHeight="1" s="85">
      <c r="A45" s="131" t="inlineStr">
        <is>
          <t>(Legacy — superseded by the loan-count facility gate below; not used in formulas)</t>
        </is>
      </c>
      <c r="B45" s="90" t="n">
        <v>1</v>
      </c>
      <c r="C45" s="89" t="n"/>
    </row>
    <row r="46" ht="15.75" customHeight="1" s="85">
      <c r="A46" s="4" t="inlineStr">
        <is>
          <t>Yield earned on excess cash above buffer (annualized)</t>
        </is>
      </c>
      <c r="B46" s="91" t="n">
        <v>0.045</v>
      </c>
      <c r="C46" s="89" t="inlineStr">
        <is>
          <t>Idle cash above the minimum buffer is swept into short-term investments (T-bills / money market)</t>
        </is>
      </c>
    </row>
    <row r="47" ht="15.75" customHeight="1" s="85">
      <c r="A47" s="4" t="n"/>
      <c r="B47" s="4" t="n"/>
      <c r="C47" s="4" t="n"/>
    </row>
    <row r="48" ht="15.75" customHeight="1" s="85">
      <c r="A48" s="87" t="inlineStr">
        <is>
          <t xml:space="preserve">  HOW THIS DRIVES THE CASH MODEL</t>
        </is>
      </c>
      <c r="B48" s="4" t="n"/>
      <c r="C48" s="4" t="n"/>
    </row>
    <row r="49" ht="15.75" customHeight="1" s="85">
      <c r="A49" s="92" t="inlineStr">
        <is>
          <t xml:space="preserve">  • Each month the warehouse facility draws/repays to fund the advance-rate share of the portfolio, capped at the committed limit above.</t>
        </is>
      </c>
      <c r="B49" s="4" t="n"/>
      <c r="C49" s="4" t="n"/>
    </row>
    <row r="50" ht="15.75" customHeight="1" s="85">
      <c r="A50" s="92" t="inlineStr">
        <is>
          <t xml:space="preserve">  • If the advance-rate need exceeds the committed limit, the gap must be equity-funded — this is flagged as a 'facility increase' recommendation.</t>
        </is>
      </c>
      <c r="B50" s="4" t="n"/>
      <c r="C50" s="4" t="n"/>
    </row>
    <row r="51" ht="15.75" customHeight="1" s="85">
      <c r="A51" s="92" t="inlineStr">
        <is>
          <t xml:space="preserve">  • Cash above the minimum buffer earns the excess-cash yield above instead of sitting idle.</t>
        </is>
      </c>
      <c r="B51" s="4" t="n"/>
      <c r="C51" s="4" t="n"/>
    </row>
    <row r="52" ht="15.75" customHeight="1" s="85">
      <c r="A52" s="92" t="inlineStr">
        <is>
          <t xml:space="preserve">  • Any month where cash would dip below the minimum buffer triggers an automatic capital raise sized to the exact shortfall (see Monthly Model cols AC/AL, and the Capital Plan sheet).</t>
        </is>
      </c>
      <c r="B52" s="4" t="n"/>
      <c r="C52" s="4" t="n"/>
    </row>
    <row r="53" ht="15.75" customHeight="1" s="85">
      <c r="A53" s="4" t="inlineStr">
        <is>
          <t>Facility utilization trigger for upsize (%)</t>
        </is>
      </c>
      <c r="B53" s="91" t="n">
        <v>0.85</v>
      </c>
      <c r="C53" s="89" t="inlineStr">
        <is>
          <t>When drawn balance hits this % of the committed limit, the model flags/sizes a facility increase</t>
        </is>
      </c>
    </row>
    <row r="54" ht="15.75" customHeight="1" s="85">
      <c r="A54" s="4" t="inlineStr">
        <is>
          <t>Target utilization after a facility upsize (%)</t>
        </is>
      </c>
      <c r="B54" s="91" t="n">
        <v>0.65</v>
      </c>
      <c r="C54" s="89" t="inlineStr">
        <is>
          <t>New commitment is sized so utilization drops back to this level, leaving headroom for growth</t>
        </is>
      </c>
    </row>
    <row r="55" ht="15.75" customHeight="1" s="85">
      <c r="A55" s="4" t="n"/>
      <c r="B55" s="4" t="n"/>
      <c r="C55" s="4" t="n"/>
    </row>
    <row r="56" ht="15.75" customHeight="1" s="85">
      <c r="A56" s="4" t="inlineStr">
        <is>
          <t>Equity raise frequency (months between raises)</t>
        </is>
      </c>
      <c r="B56" s="90" t="n">
        <v>12</v>
      </c>
      <c r="C56" s="89" t="inlineStr">
        <is>
          <t>Equity is only raised once per year, at the start of each fiscal year, sized to cover the full year ahead</t>
        </is>
      </c>
    </row>
    <row r="57" ht="15.75" customHeight="1" s="85">
      <c r="A57" s="4" t="inlineStr">
        <is>
          <t>Loans funded from equity before warehouse facility is available</t>
        </is>
      </c>
      <c r="B57" s="90" t="n">
        <v>250</v>
      </c>
      <c r="C57" s="89" t="inlineStr">
        <is>
          <t>The lender wants a proven track record before extending the facility — book must originate this many loans on its own equity first</t>
        </is>
      </c>
    </row>
    <row r="58" ht="15.75" customHeight="1" s="85">
      <c r="A58" s="4" t="n"/>
      <c r="B58" s="4" t="n"/>
      <c r="C58" s="4" t="n"/>
    </row>
    <row r="59" ht="15.75" customHeight="1" s="85">
      <c r="A59" s="4" t="n"/>
      <c r="B59" s="4" t="n"/>
      <c r="C59" s="4" t="n"/>
    </row>
    <row r="60" ht="15.75" customHeight="1" s="85">
      <c r="A60" s="87" t="inlineStr">
        <is>
          <t xml:space="preserve">  BANK PARTNERSHIP (e.g., WebBank — required since you don't hold a lending license)</t>
        </is>
      </c>
      <c r="B60" s="4" t="n"/>
      <c r="C60" s="4" t="n"/>
    </row>
    <row r="61" ht="15.75" customHeight="1" s="85">
      <c r="A61" s="4" t="inlineStr">
        <is>
          <t>Bank's retained interest in each loan's receivable (%)</t>
        </is>
      </c>
      <c r="B61" s="91" t="n">
        <v>0.05</v>
      </c>
      <c r="C61" s="89" t="inlineStr">
        <is>
          <t>Bank keeps this % of every loan on its own books indefinitely ('skin in the game' — 5% is the figure used in the FinWise Bank true-lender case). You fund/economically own the rest.</t>
        </is>
      </c>
    </row>
    <row r="62" ht="15.75" customHeight="1" s="85">
      <c r="A62" s="4" t="inlineStr">
        <is>
          <t>Bank program fee (% of gross monthly originations)</t>
        </is>
      </c>
      <c r="B62" s="91" t="n">
        <v>0.01</v>
      </c>
      <c r="C62" s="89" t="inlineStr">
        <is>
          <t>Estimate — actual bank program fees are individually negotiated and confidential; adjust once you have a term sheet</t>
        </is>
      </c>
    </row>
    <row r="63" ht="15.75" customHeight="1" s="85">
      <c r="A63" s="4" t="inlineStr">
        <is>
          <t>Minimum monthly bank program fee ($)</t>
        </is>
      </c>
      <c r="B63" s="88" t="n">
        <v>15000</v>
      </c>
      <c r="C63" s="89" t="inlineStr">
        <is>
          <t>Floor that protects the bank's revenue during low-volume months, common in early-stage programs</t>
        </is>
      </c>
    </row>
    <row r="64" ht="15.75" customHeight="1" s="85">
      <c r="A64" s="4" t="inlineStr">
        <is>
          <t>Incremental bank-partner compliance / program mgmt cost ($/yr)</t>
        </is>
      </c>
      <c r="B64" s="88" t="n">
        <v>75000</v>
      </c>
      <c r="C64" s="89" t="inlineStr">
        <is>
          <t>Extra compliance headcount/tooling, licensing &amp; registration upkeep, quarterly bank audits, marketing material review, complaint handling — on top of the Compliance &amp; Legal opex line</t>
        </is>
      </c>
    </row>
    <row r="65" ht="15.75" customHeight="1" s="85">
      <c r="A65" s="4" t="n"/>
      <c r="B65" s="4" t="n"/>
      <c r="C65" s="4" t="n"/>
    </row>
    <row r="66" ht="15.75" customHeight="1" s="85">
      <c r="A66" s="87" t="inlineStr">
        <is>
          <t xml:space="preserve">  HOW THE BANK PARTNERSHIP WORKS</t>
        </is>
      </c>
      <c r="B66" s="4" t="n"/>
      <c r="C66" s="4" t="n"/>
    </row>
    <row r="67" ht="15.75" customHeight="1" s="85">
      <c r="A67" s="92" t="inlineStr">
        <is>
          <t xml:space="preserve">  • WebBank (a Utah-chartered industrial bank) is the actual lender of record for every loan — it underwrites and funds each loan with its own capital at origination, which is why you don't need a lending license in any state.</t>
        </is>
      </c>
      <c r="B67" s="4" t="n"/>
      <c r="C67" s="4" t="n"/>
    </row>
    <row r="68" ht="15.75" customHeight="1" s="85">
      <c r="A68" s="92" t="inlineStr">
        <is>
          <t xml:space="preserve">  • Within a few days, WebBank sells/assigns ~95% of each loan's receivable to you (or a trust you control); you fund that purchase from cash/equity/the warehouse facility — this is what 'Originations ($)' in the model represents.</t>
        </is>
      </c>
      <c r="B68" s="4" t="n"/>
      <c r="C68" s="4" t="n"/>
    </row>
    <row r="69" ht="15.75" customHeight="1" s="85">
      <c r="A69" s="92" t="inlineStr">
        <is>
          <t xml:space="preserve">  • WebBank keeps the other ~5% on its own books permanently — this is the 'true lender' skin-in-the-game that keeps the program defensible against rent-a-bank challenges.</t>
        </is>
      </c>
      <c r="B69" s="4" t="n"/>
      <c r="C69" s="4" t="n"/>
    </row>
    <row r="70" ht="15.75" customHeight="1" s="85">
      <c r="A70" s="92" t="inlineStr">
        <is>
          <t xml:space="preserve">  • You pay WebBank an ongoing program fee (modeled as % of gross originations, with a monthly floor) plus you bear the extra compliance/oversight cost of running a bank-partner program.</t>
        </is>
      </c>
      <c r="B70" s="4" t="n"/>
      <c r="C70" s="4" t="n"/>
    </row>
    <row r="71" ht="15.75" customHeight="1" s="85">
      <c r="A71" s="92" t="inlineStr">
        <is>
          <t xml:space="preserve">  • Being on a Utah bank's charter also lets you charge the model's 19% APR nationwide without hitting state-by-state usury caps — that's the other side of this trade-off.</t>
        </is>
      </c>
      <c r="B71" s="4" t="n"/>
      <c r="C71" s="4" t="n"/>
    </row>
    <row r="72" ht="15.75" customHeight="1" s="85">
      <c r="A72" s="4" t="n"/>
      <c r="B72" s="4" t="n"/>
      <c r="C72" s="4" t="n"/>
    </row>
    <row r="73" ht="15.75" customHeight="1" s="85">
      <c r="A73" s="4" t="n"/>
      <c r="B73" s="4" t="n"/>
      <c r="C73" s="4" t="n"/>
    </row>
    <row r="74" ht="15.75" customHeight="1" s="85">
      <c r="A74" s="4" t="n"/>
      <c r="B74" s="4" t="n"/>
      <c r="C74" s="4" t="n"/>
    </row>
    <row r="75" ht="15.75" customHeight="1" s="85">
      <c r="A75" s="4" t="n"/>
      <c r="B75" s="4" t="n"/>
      <c r="C75" s="4" t="n"/>
    </row>
    <row r="76" ht="15.75" customHeight="1" s="85">
      <c r="A76" s="4" t="n"/>
      <c r="B76" s="4" t="n"/>
      <c r="C76" s="4" t="n"/>
    </row>
    <row r="77" ht="15.75" customHeight="1" s="85">
      <c r="A77" s="4" t="n"/>
      <c r="B77" s="4" t="n"/>
      <c r="C77" s="4" t="n"/>
    </row>
    <row r="78" ht="15.75" customHeight="1" s="85">
      <c r="A78" s="4" t="n"/>
      <c r="B78" s="4" t="n"/>
      <c r="C78" s="4" t="n"/>
    </row>
    <row r="79" ht="15.75" customHeight="1" s="85">
      <c r="A79" s="4" t="n"/>
      <c r="B79" s="4" t="n"/>
      <c r="C79" s="4" t="n"/>
    </row>
    <row r="80" ht="15.75" customHeight="1" s="85">
      <c r="A80" s="4" t="n"/>
      <c r="B80" s="4" t="n"/>
      <c r="C80" s="4" t="n"/>
    </row>
    <row r="81" ht="15.75" customHeight="1" s="85">
      <c r="A81" s="4" t="n"/>
      <c r="B81" s="4" t="n"/>
      <c r="C81" s="4" t="n"/>
    </row>
    <row r="82" ht="15.75" customHeight="1" s="85">
      <c r="A82" s="4" t="n"/>
      <c r="B82" s="4" t="n"/>
      <c r="C82" s="4" t="n"/>
    </row>
    <row r="83" ht="15.75" customHeight="1" s="85">
      <c r="A83" s="4" t="n"/>
      <c r="B83" s="4" t="n"/>
      <c r="C83" s="4" t="n"/>
    </row>
    <row r="84" ht="15.75" customHeight="1" s="85">
      <c r="A84" s="4" t="n"/>
      <c r="B84" s="4" t="n"/>
      <c r="C84" s="4" t="n"/>
    </row>
    <row r="85" ht="15.75" customHeight="1" s="85">
      <c r="A85" s="4" t="n"/>
      <c r="B85" s="4" t="n"/>
      <c r="C85" s="4" t="n"/>
    </row>
    <row r="86" ht="15.75" customHeight="1" s="85">
      <c r="A86" s="4" t="n"/>
      <c r="B86" s="4" t="n"/>
      <c r="C86" s="4" t="n"/>
    </row>
    <row r="87" ht="15.75" customHeight="1" s="85">
      <c r="A87" s="4" t="n"/>
      <c r="B87" s="4" t="n"/>
      <c r="C87" s="4" t="n"/>
    </row>
    <row r="88" ht="15.75" customHeight="1" s="85">
      <c r="A88" s="4" t="n"/>
      <c r="B88" s="4" t="n"/>
      <c r="C88" s="4" t="n"/>
    </row>
    <row r="89" ht="15.75" customHeight="1" s="85">
      <c r="A89" s="4" t="n"/>
      <c r="B89" s="4" t="n"/>
      <c r="C89" s="4" t="n"/>
    </row>
    <row r="90" ht="15.75" customHeight="1" s="85">
      <c r="A90" s="4" t="n"/>
      <c r="B90" s="4" t="n"/>
      <c r="C90" s="4" t="n"/>
    </row>
    <row r="91" ht="15.75" customHeight="1" s="85">
      <c r="A91" s="4" t="n"/>
      <c r="B91" s="4" t="n"/>
      <c r="C91" s="4" t="n"/>
    </row>
    <row r="92" ht="15.75" customHeight="1" s="85">
      <c r="A92" s="4" t="n"/>
      <c r="B92" s="4" t="n"/>
      <c r="C92" s="4" t="n"/>
    </row>
    <row r="93" ht="15.75" customHeight="1" s="85">
      <c r="A93" s="4" t="n"/>
      <c r="B93" s="4" t="n"/>
      <c r="C93" s="4" t="n"/>
    </row>
    <row r="94" ht="15.75" customHeight="1" s="85">
      <c r="A94" s="4" t="n"/>
      <c r="B94" s="4" t="n"/>
      <c r="C94" s="4" t="n"/>
    </row>
    <row r="95" ht="15.75" customHeight="1" s="85">
      <c r="A95" s="4" t="n"/>
      <c r="B95" s="4" t="n"/>
      <c r="C95" s="4" t="n"/>
    </row>
    <row r="96" ht="15.75" customHeight="1" s="85">
      <c r="A96" s="4" t="n"/>
      <c r="B96" s="4" t="n"/>
      <c r="C96" s="4" t="n"/>
    </row>
    <row r="97" ht="15.75" customHeight="1" s="85">
      <c r="A97" s="4" t="n"/>
      <c r="B97" s="4" t="n"/>
      <c r="C97" s="4" t="n"/>
    </row>
    <row r="98" ht="15.75" customHeight="1" s="85">
      <c r="A98" s="4" t="n"/>
      <c r="B98" s="4" t="n"/>
      <c r="C98" s="4" t="n"/>
    </row>
    <row r="99" ht="15.75" customHeight="1" s="85">
      <c r="A99" s="4" t="n"/>
      <c r="B99" s="4" t="n"/>
      <c r="C99" s="4" t="n"/>
    </row>
    <row r="100" ht="15.75" customHeight="1" s="85">
      <c r="A100" s="4" t="n"/>
      <c r="B100" s="4" t="n"/>
      <c r="C100" s="4" t="n"/>
    </row>
    <row r="101" ht="15.75" customHeight="1" s="85">
      <c r="A101" s="4" t="n"/>
      <c r="B101" s="4" t="n"/>
      <c r="C101" s="4" t="n"/>
    </row>
    <row r="102" ht="15.75" customHeight="1" s="85">
      <c r="A102" s="4" t="n"/>
      <c r="B102" s="4" t="n"/>
      <c r="C102" s="4" t="n"/>
    </row>
    <row r="103" ht="15.75" customHeight="1" s="85">
      <c r="A103" s="4" t="n"/>
      <c r="B103" s="4" t="n"/>
      <c r="C103" s="4" t="n"/>
    </row>
    <row r="104" ht="15.75" customHeight="1" s="85">
      <c r="A104" s="4" t="n"/>
      <c r="B104" s="4" t="n"/>
      <c r="C104" s="4" t="n"/>
    </row>
    <row r="105" ht="15.75" customHeight="1" s="85">
      <c r="A105" s="4" t="n"/>
      <c r="B105" s="4" t="n"/>
      <c r="C105" s="4" t="n"/>
    </row>
    <row r="106" ht="15.75" customHeight="1" s="85">
      <c r="A106" s="4" t="n"/>
      <c r="B106" s="4" t="n"/>
      <c r="C106" s="4" t="n"/>
    </row>
    <row r="107" ht="15.75" customHeight="1" s="85">
      <c r="A107" s="4" t="n"/>
      <c r="B107" s="4" t="n"/>
      <c r="C107" s="4" t="n"/>
    </row>
    <row r="108" ht="15.75" customHeight="1" s="85">
      <c r="A108" s="4" t="n"/>
      <c r="B108" s="4" t="n"/>
      <c r="C108" s="4" t="n"/>
    </row>
    <row r="109" ht="15.75" customHeight="1" s="85">
      <c r="A109" s="4" t="n"/>
      <c r="B109" s="4" t="n"/>
      <c r="C109" s="4" t="n"/>
    </row>
    <row r="110" ht="15.75" customHeight="1" s="85">
      <c r="A110" s="4" t="n"/>
      <c r="B110" s="4" t="n"/>
      <c r="C110" s="4" t="n"/>
    </row>
    <row r="111" ht="15.75" customHeight="1" s="85">
      <c r="A111" s="4" t="n"/>
      <c r="B111" s="4" t="n"/>
      <c r="C111" s="4" t="n"/>
    </row>
    <row r="112" ht="15.75" customHeight="1" s="85">
      <c r="A112" s="4" t="n"/>
      <c r="B112" s="4" t="n"/>
      <c r="C112" s="4" t="n"/>
    </row>
    <row r="113" ht="15.75" customHeight="1" s="85">
      <c r="A113" s="4" t="n"/>
      <c r="B113" s="4" t="n"/>
      <c r="C113" s="4" t="n"/>
    </row>
    <row r="114" ht="15.75" customHeight="1" s="85">
      <c r="A114" s="4" t="n"/>
      <c r="B114" s="4" t="n"/>
      <c r="C114" s="4" t="n"/>
    </row>
    <row r="115" ht="15.75" customHeight="1" s="85">
      <c r="A115" s="4" t="n"/>
      <c r="B115" s="4" t="n"/>
      <c r="C115" s="4" t="n"/>
    </row>
    <row r="116" ht="15.75" customHeight="1" s="85">
      <c r="A116" s="4" t="n"/>
      <c r="B116" s="4" t="n"/>
      <c r="C116" s="4" t="n"/>
    </row>
    <row r="117" ht="15.75" customHeight="1" s="85">
      <c r="A117" s="4" t="n"/>
      <c r="B117" s="4" t="n"/>
      <c r="C117" s="4" t="n"/>
    </row>
    <row r="118" ht="15.75" customHeight="1" s="85">
      <c r="A118" s="4" t="n"/>
      <c r="B118" s="4" t="n"/>
      <c r="C118" s="4" t="n"/>
    </row>
    <row r="119" ht="15.75" customHeight="1" s="85">
      <c r="A119" s="4" t="n"/>
      <c r="B119" s="4" t="n"/>
      <c r="C119" s="4" t="n"/>
    </row>
    <row r="120" ht="15.75" customHeight="1" s="85">
      <c r="A120" s="4" t="n"/>
      <c r="B120" s="4" t="n"/>
      <c r="C120" s="4" t="n"/>
    </row>
    <row r="121" ht="15.75" customHeight="1" s="85">
      <c r="A121" s="4" t="n"/>
      <c r="B121" s="4" t="n"/>
      <c r="C121" s="4" t="n"/>
    </row>
    <row r="122" ht="15.75" customHeight="1" s="85">
      <c r="A122" s="4" t="n"/>
      <c r="B122" s="4" t="n"/>
      <c r="C122" s="4" t="n"/>
    </row>
    <row r="123" ht="15.75" customHeight="1" s="85">
      <c r="A123" s="4" t="n"/>
      <c r="B123" s="4" t="n"/>
      <c r="C123" s="4" t="n"/>
    </row>
    <row r="124" ht="15.75" customHeight="1" s="85">
      <c r="A124" s="4" t="n"/>
      <c r="B124" s="4" t="n"/>
      <c r="C124" s="4" t="n"/>
    </row>
    <row r="125" ht="15.75" customHeight="1" s="85">
      <c r="A125" s="4" t="n"/>
      <c r="B125" s="4" t="n"/>
      <c r="C125" s="4" t="n"/>
    </row>
    <row r="126" ht="15.75" customHeight="1" s="85">
      <c r="A126" s="4" t="n"/>
      <c r="B126" s="4" t="n"/>
      <c r="C126" s="4" t="n"/>
    </row>
    <row r="127" ht="15.75" customHeight="1" s="85">
      <c r="A127" s="4" t="n"/>
      <c r="B127" s="4" t="n"/>
      <c r="C127" s="4" t="n"/>
    </row>
    <row r="128" ht="15.75" customHeight="1" s="85">
      <c r="A128" s="4" t="n"/>
      <c r="B128" s="4" t="n"/>
      <c r="C128" s="4" t="n"/>
    </row>
    <row r="129" ht="15.75" customHeight="1" s="85">
      <c r="A129" s="4" t="n"/>
      <c r="B129" s="4" t="n"/>
      <c r="C129" s="4" t="n"/>
    </row>
    <row r="130" ht="15.75" customHeight="1" s="85">
      <c r="A130" s="4" t="n"/>
      <c r="B130" s="4" t="n"/>
      <c r="C130" s="4" t="n"/>
    </row>
    <row r="131" ht="15.75" customHeight="1" s="85">
      <c r="A131" s="4" t="n"/>
      <c r="B131" s="4" t="n"/>
      <c r="C131" s="4" t="n"/>
    </row>
    <row r="132" ht="15.75" customHeight="1" s="85">
      <c r="A132" s="4" t="n"/>
      <c r="B132" s="4" t="n"/>
      <c r="C132" s="4" t="n"/>
    </row>
    <row r="133" ht="15.75" customHeight="1" s="85">
      <c r="A133" s="4" t="n"/>
      <c r="B133" s="4" t="n"/>
      <c r="C133" s="4" t="n"/>
    </row>
    <row r="134" ht="15.75" customHeight="1" s="85">
      <c r="A134" s="4" t="n"/>
      <c r="B134" s="4" t="n"/>
      <c r="C134" s="4" t="n"/>
    </row>
    <row r="135" ht="15.75" customHeight="1" s="85">
      <c r="A135" s="4" t="n"/>
      <c r="B135" s="4" t="n"/>
      <c r="C135" s="4" t="n"/>
    </row>
    <row r="136" ht="15.75" customHeight="1" s="85">
      <c r="A136" s="4" t="n"/>
      <c r="B136" s="4" t="n"/>
      <c r="C136" s="4" t="n"/>
    </row>
    <row r="137" ht="15.75" customHeight="1" s="85">
      <c r="A137" s="4" t="n"/>
      <c r="B137" s="4" t="n"/>
      <c r="C137" s="4" t="n"/>
    </row>
    <row r="138" ht="15.75" customHeight="1" s="85">
      <c r="A138" s="4" t="n"/>
      <c r="B138" s="4" t="n"/>
      <c r="C138" s="4" t="n"/>
    </row>
    <row r="139" ht="15.75" customHeight="1" s="85">
      <c r="A139" s="4" t="n"/>
      <c r="B139" s="4" t="n"/>
      <c r="C139" s="4" t="n"/>
    </row>
    <row r="140" ht="15.75" customHeight="1" s="85">
      <c r="A140" s="4" t="n"/>
      <c r="B140" s="4" t="n"/>
      <c r="C140" s="4" t="n"/>
    </row>
    <row r="141" ht="15.75" customHeight="1" s="85">
      <c r="A141" s="4" t="n"/>
      <c r="B141" s="4" t="n"/>
      <c r="C141" s="4" t="n"/>
    </row>
    <row r="142" ht="15.75" customHeight="1" s="85">
      <c r="A142" s="4" t="n"/>
      <c r="B142" s="4" t="n"/>
      <c r="C142" s="4" t="n"/>
    </row>
    <row r="143" ht="15.75" customHeight="1" s="85">
      <c r="A143" s="4" t="n"/>
      <c r="B143" s="4" t="n"/>
      <c r="C143" s="4" t="n"/>
    </row>
    <row r="144" ht="15.75" customHeight="1" s="85">
      <c r="A144" s="4" t="n"/>
      <c r="B144" s="4" t="n"/>
      <c r="C144" s="4" t="n"/>
    </row>
    <row r="145" ht="15.75" customHeight="1" s="85">
      <c r="A145" s="4" t="n"/>
      <c r="B145" s="4" t="n"/>
      <c r="C145" s="4" t="n"/>
    </row>
    <row r="146" ht="15.75" customHeight="1" s="85">
      <c r="A146" s="4" t="n"/>
      <c r="B146" s="4" t="n"/>
      <c r="C146" s="4" t="n"/>
    </row>
    <row r="147" ht="15.75" customHeight="1" s="85">
      <c r="A147" s="4" t="n"/>
      <c r="B147" s="4" t="n"/>
      <c r="C147" s="4" t="n"/>
    </row>
    <row r="148" ht="15.75" customHeight="1" s="85">
      <c r="A148" s="4" t="n"/>
      <c r="B148" s="4" t="n"/>
      <c r="C148" s="4" t="n"/>
    </row>
    <row r="149" ht="15.75" customHeight="1" s="85">
      <c r="A149" s="4" t="n"/>
      <c r="B149" s="4" t="n"/>
      <c r="C149" s="4" t="n"/>
    </row>
    <row r="150" ht="15.75" customHeight="1" s="85">
      <c r="A150" s="4" t="n"/>
      <c r="B150" s="4" t="n"/>
      <c r="C150" s="4" t="n"/>
    </row>
    <row r="151" ht="15.75" customHeight="1" s="85">
      <c r="A151" s="4" t="n"/>
      <c r="B151" s="4" t="n"/>
      <c r="C151" s="4" t="n"/>
    </row>
    <row r="152" ht="15.75" customHeight="1" s="85">
      <c r="A152" s="4" t="n"/>
      <c r="B152" s="4" t="n"/>
      <c r="C152" s="4" t="n"/>
    </row>
    <row r="153" ht="15.75" customHeight="1" s="85">
      <c r="A153" s="4" t="n"/>
      <c r="B153" s="4" t="n"/>
      <c r="C153" s="4" t="n"/>
    </row>
    <row r="154" ht="15.75" customHeight="1" s="85">
      <c r="A154" s="4" t="n"/>
      <c r="B154" s="4" t="n"/>
      <c r="C154" s="4" t="n"/>
    </row>
    <row r="155" ht="15.75" customHeight="1" s="85">
      <c r="A155" s="4" t="n"/>
      <c r="B155" s="4" t="n"/>
      <c r="C155" s="4" t="n"/>
    </row>
    <row r="156" ht="15.75" customHeight="1" s="85">
      <c r="A156" s="4" t="n"/>
      <c r="B156" s="4" t="n"/>
      <c r="C156" s="4" t="n"/>
    </row>
    <row r="157" ht="15.75" customHeight="1" s="85">
      <c r="A157" s="4" t="n"/>
      <c r="B157" s="4" t="n"/>
      <c r="C157" s="4" t="n"/>
    </row>
    <row r="158" ht="15.75" customHeight="1" s="85">
      <c r="A158" s="4" t="n"/>
      <c r="B158" s="4" t="n"/>
      <c r="C158" s="4" t="n"/>
    </row>
    <row r="159" ht="15.75" customHeight="1" s="85">
      <c r="A159" s="4" t="n"/>
      <c r="B159" s="4" t="n"/>
      <c r="C159" s="4" t="n"/>
    </row>
    <row r="160" ht="15.75" customHeight="1" s="85">
      <c r="A160" s="4" t="n"/>
      <c r="B160" s="4" t="n"/>
      <c r="C160" s="4" t="n"/>
    </row>
    <row r="161" ht="15.75" customHeight="1" s="85">
      <c r="A161" s="4" t="n"/>
      <c r="B161" s="4" t="n"/>
      <c r="C161" s="4" t="n"/>
    </row>
    <row r="162" ht="15.75" customHeight="1" s="85">
      <c r="A162" s="4" t="n"/>
      <c r="B162" s="4" t="n"/>
      <c r="C162" s="4" t="n"/>
    </row>
    <row r="163" ht="15.75" customHeight="1" s="85">
      <c r="A163" s="4" t="n"/>
      <c r="B163" s="4" t="n"/>
      <c r="C163" s="4" t="n"/>
    </row>
    <row r="164" ht="15.75" customHeight="1" s="85">
      <c r="A164" s="4" t="n"/>
      <c r="B164" s="4" t="n"/>
      <c r="C164" s="4" t="n"/>
    </row>
    <row r="165" ht="15.75" customHeight="1" s="85">
      <c r="A165" s="4" t="n"/>
      <c r="B165" s="4" t="n"/>
      <c r="C165" s="4" t="n"/>
    </row>
    <row r="166" ht="15.75" customHeight="1" s="85">
      <c r="A166" s="4" t="n"/>
      <c r="B166" s="4" t="n"/>
      <c r="C166" s="4" t="n"/>
    </row>
    <row r="167" ht="15.75" customHeight="1" s="85">
      <c r="A167" s="4" t="n"/>
      <c r="B167" s="4" t="n"/>
      <c r="C167" s="4" t="n"/>
    </row>
    <row r="168" ht="15.75" customHeight="1" s="85">
      <c r="A168" s="4" t="n"/>
      <c r="B168" s="4" t="n"/>
      <c r="C168" s="4" t="n"/>
    </row>
    <row r="169" ht="15.75" customHeight="1" s="85">
      <c r="A169" s="4" t="n"/>
      <c r="B169" s="4" t="n"/>
      <c r="C169" s="4" t="n"/>
    </row>
    <row r="170" ht="15.75" customHeight="1" s="85">
      <c r="A170" s="4" t="n"/>
      <c r="B170" s="4" t="n"/>
      <c r="C170" s="4" t="n"/>
    </row>
    <row r="171" ht="15.75" customHeight="1" s="85">
      <c r="A171" s="4" t="n"/>
      <c r="B171" s="4" t="n"/>
      <c r="C171" s="4" t="n"/>
    </row>
    <row r="172" ht="15.75" customHeight="1" s="85">
      <c r="A172" s="4" t="n"/>
      <c r="B172" s="4" t="n"/>
      <c r="C172" s="4" t="n"/>
    </row>
    <row r="173" ht="15.75" customHeight="1" s="85">
      <c r="A173" s="4" t="n"/>
      <c r="B173" s="4" t="n"/>
      <c r="C173" s="4" t="n"/>
    </row>
    <row r="174" ht="15.75" customHeight="1" s="85">
      <c r="A174" s="4" t="n"/>
      <c r="B174" s="4" t="n"/>
      <c r="C174" s="4" t="n"/>
    </row>
    <row r="175" ht="15.75" customHeight="1" s="85">
      <c r="A175" s="4" t="n"/>
      <c r="B175" s="4" t="n"/>
      <c r="C175" s="4" t="n"/>
    </row>
    <row r="176" ht="15.75" customHeight="1" s="85">
      <c r="A176" s="4" t="n"/>
      <c r="B176" s="4" t="n"/>
      <c r="C176" s="4" t="n"/>
    </row>
    <row r="177" ht="15.75" customHeight="1" s="85">
      <c r="A177" s="4" t="n"/>
      <c r="B177" s="4" t="n"/>
      <c r="C177" s="4" t="n"/>
    </row>
    <row r="178" ht="15.75" customHeight="1" s="85">
      <c r="A178" s="4" t="n"/>
      <c r="B178" s="4" t="n"/>
      <c r="C178" s="4" t="n"/>
    </row>
    <row r="179" ht="15.75" customHeight="1" s="85">
      <c r="A179" s="4" t="n"/>
      <c r="B179" s="4" t="n"/>
      <c r="C179" s="4" t="n"/>
    </row>
    <row r="180" ht="15.75" customHeight="1" s="85">
      <c r="A180" s="4" t="n"/>
      <c r="B180" s="4" t="n"/>
      <c r="C180" s="4" t="n"/>
    </row>
    <row r="181" ht="15.75" customHeight="1" s="85">
      <c r="A181" s="4" t="n"/>
      <c r="B181" s="4" t="n"/>
      <c r="C181" s="4" t="n"/>
    </row>
    <row r="182" ht="15.75" customHeight="1" s="85">
      <c r="A182" s="4" t="n"/>
      <c r="B182" s="4" t="n"/>
      <c r="C182" s="4" t="n"/>
    </row>
    <row r="183" ht="15.75" customHeight="1" s="85">
      <c r="A183" s="4" t="n"/>
      <c r="B183" s="4" t="n"/>
      <c r="C183" s="4" t="n"/>
    </row>
    <row r="184" ht="15.75" customHeight="1" s="85">
      <c r="A184" s="4" t="n"/>
      <c r="B184" s="4" t="n"/>
      <c r="C184" s="4" t="n"/>
    </row>
    <row r="185" ht="15.75" customHeight="1" s="85">
      <c r="A185" s="4" t="n"/>
      <c r="B185" s="4" t="n"/>
      <c r="C185" s="4" t="n"/>
    </row>
    <row r="186" ht="15.75" customHeight="1" s="85">
      <c r="A186" s="4" t="n"/>
      <c r="B186" s="4" t="n"/>
      <c r="C186" s="4" t="n"/>
    </row>
    <row r="187" ht="15.75" customHeight="1" s="85">
      <c r="A187" s="4" t="n"/>
      <c r="B187" s="4" t="n"/>
      <c r="C187" s="4" t="n"/>
    </row>
    <row r="188" ht="15.75" customHeight="1" s="85">
      <c r="A188" s="4" t="n"/>
      <c r="B188" s="4" t="n"/>
      <c r="C188" s="4" t="n"/>
    </row>
    <row r="189" ht="15.75" customHeight="1" s="85">
      <c r="A189" s="4" t="n"/>
      <c r="B189" s="4" t="n"/>
      <c r="C189" s="4" t="n"/>
    </row>
    <row r="190" ht="15.75" customHeight="1" s="85">
      <c r="A190" s="4" t="n"/>
      <c r="B190" s="4" t="n"/>
      <c r="C190" s="4" t="n"/>
    </row>
    <row r="191" ht="15.75" customHeight="1" s="85">
      <c r="A191" s="4" t="n"/>
      <c r="B191" s="4" t="n"/>
      <c r="C191" s="4" t="n"/>
    </row>
    <row r="192" ht="15.75" customHeight="1" s="85">
      <c r="A192" s="4" t="n"/>
      <c r="B192" s="4" t="n"/>
      <c r="C192" s="4" t="n"/>
    </row>
    <row r="193" ht="15.75" customHeight="1" s="85">
      <c r="A193" s="4" t="n"/>
      <c r="B193" s="4" t="n"/>
      <c r="C193" s="4" t="n"/>
    </row>
    <row r="194" ht="15.75" customHeight="1" s="85">
      <c r="A194" s="4" t="n"/>
      <c r="B194" s="4" t="n"/>
      <c r="C194" s="4" t="n"/>
    </row>
    <row r="195" ht="15.75" customHeight="1" s="85">
      <c r="A195" s="4" t="n"/>
      <c r="B195" s="4" t="n"/>
      <c r="C195" s="4" t="n"/>
    </row>
    <row r="196" ht="15.75" customHeight="1" s="85">
      <c r="A196" s="4" t="n"/>
      <c r="B196" s="4" t="n"/>
      <c r="C196" s="4" t="n"/>
    </row>
    <row r="197" ht="15.75" customHeight="1" s="85">
      <c r="A197" s="4" t="n"/>
      <c r="B197" s="4" t="n"/>
      <c r="C197" s="4" t="n"/>
    </row>
    <row r="198" ht="15.75" customHeight="1" s="85">
      <c r="A198" s="4" t="n"/>
      <c r="B198" s="4" t="n"/>
      <c r="C198" s="4" t="n"/>
    </row>
    <row r="199" ht="15.75" customHeight="1" s="85">
      <c r="A199" s="4" t="n"/>
      <c r="B199" s="4" t="n"/>
      <c r="C199" s="4" t="n"/>
    </row>
    <row r="200" ht="15.75" customHeight="1" s="85">
      <c r="A200" s="4" t="n"/>
      <c r="B200" s="4" t="n"/>
      <c r="C200" s="4" t="n"/>
    </row>
    <row r="201" ht="15.75" customHeight="1" s="85">
      <c r="A201" s="4" t="n"/>
      <c r="B201" s="4" t="n"/>
      <c r="C201" s="4" t="n"/>
    </row>
    <row r="202" ht="15.75" customHeight="1" s="85">
      <c r="A202" s="4" t="n"/>
      <c r="B202" s="4" t="n"/>
      <c r="C202" s="4" t="n"/>
    </row>
    <row r="203" ht="15.75" customHeight="1" s="85">
      <c r="A203" s="4" t="n"/>
      <c r="B203" s="4" t="n"/>
      <c r="C203" s="4" t="n"/>
    </row>
    <row r="204" ht="15.75" customHeight="1" s="85">
      <c r="A204" s="4" t="n"/>
      <c r="B204" s="4" t="n"/>
      <c r="C204" s="4" t="n"/>
    </row>
    <row r="205" ht="15.75" customHeight="1" s="85">
      <c r="A205" s="4" t="n"/>
      <c r="B205" s="4" t="n"/>
      <c r="C205" s="4" t="n"/>
    </row>
    <row r="206" ht="15.75" customHeight="1" s="85">
      <c r="A206" s="4" t="n"/>
      <c r="B206" s="4" t="n"/>
      <c r="C206" s="4" t="n"/>
    </row>
    <row r="207" ht="15.75" customHeight="1" s="85">
      <c r="A207" s="4" t="n"/>
      <c r="B207" s="4" t="n"/>
      <c r="C207" s="4" t="n"/>
    </row>
    <row r="208" ht="15.75" customHeight="1" s="85">
      <c r="A208" s="4" t="n"/>
      <c r="B208" s="4" t="n"/>
      <c r="C208" s="4" t="n"/>
    </row>
    <row r="209" ht="15.75" customHeight="1" s="85">
      <c r="A209" s="4" t="n"/>
      <c r="B209" s="4" t="n"/>
      <c r="C209" s="4" t="n"/>
    </row>
    <row r="210" ht="15.75" customHeight="1" s="85">
      <c r="A210" s="4" t="n"/>
      <c r="B210" s="4" t="n"/>
      <c r="C210" s="4" t="n"/>
    </row>
    <row r="211" ht="15.75" customHeight="1" s="85">
      <c r="A211" s="4" t="n"/>
      <c r="B211" s="4" t="n"/>
      <c r="C211" s="4" t="n"/>
    </row>
    <row r="212" ht="15.75" customHeight="1" s="85">
      <c r="A212" s="4" t="n"/>
      <c r="B212" s="4" t="n"/>
      <c r="C212" s="4" t="n"/>
    </row>
    <row r="213" ht="15.75" customHeight="1" s="85">
      <c r="A213" s="4" t="n"/>
      <c r="B213" s="4" t="n"/>
      <c r="C213" s="4" t="n"/>
    </row>
    <row r="214" ht="15.75" customHeight="1" s="85">
      <c r="A214" s="4" t="n"/>
      <c r="B214" s="4" t="n"/>
      <c r="C214" s="4" t="n"/>
    </row>
    <row r="215" ht="15.75" customHeight="1" s="85">
      <c r="A215" s="4" t="n"/>
      <c r="B215" s="4" t="n"/>
      <c r="C215" s="4" t="n"/>
    </row>
    <row r="216" ht="15.75" customHeight="1" s="85">
      <c r="A216" s="4" t="n"/>
      <c r="B216" s="4" t="n"/>
      <c r="C216" s="4" t="n"/>
    </row>
    <row r="217" ht="15.75" customHeight="1" s="85">
      <c r="A217" s="4" t="n"/>
      <c r="B217" s="4" t="n"/>
      <c r="C217" s="4" t="n"/>
    </row>
    <row r="218" ht="15.75" customHeight="1" s="85">
      <c r="A218" s="4" t="n"/>
      <c r="B218" s="4" t="n"/>
      <c r="C218" s="4" t="n"/>
    </row>
    <row r="219" ht="15.75" customHeight="1" s="85">
      <c r="A219" s="4" t="n"/>
      <c r="B219" s="4" t="n"/>
      <c r="C219" s="4" t="n"/>
    </row>
    <row r="220" ht="15.75" customHeight="1" s="85">
      <c r="A220" s="4" t="n"/>
      <c r="B220" s="4" t="n"/>
      <c r="C220" s="4" t="n"/>
    </row>
    <row r="221" ht="15.75" customHeight="1" s="85">
      <c r="A221" s="4" t="n"/>
      <c r="B221" s="4" t="n"/>
      <c r="C221" s="4" t="n"/>
    </row>
    <row r="222" ht="15.75" customHeight="1" s="85">
      <c r="A222" s="4" t="n"/>
      <c r="B222" s="4" t="n"/>
      <c r="C222" s="4" t="n"/>
    </row>
    <row r="223" ht="15.75" customHeight="1" s="85">
      <c r="A223" s="4" t="n"/>
      <c r="B223" s="4" t="n"/>
      <c r="C223" s="4" t="n"/>
    </row>
    <row r="224" ht="15.75" customHeight="1" s="85">
      <c r="A224" s="4" t="n"/>
      <c r="B224" s="4" t="n"/>
      <c r="C224" s="4" t="n"/>
    </row>
    <row r="225" ht="15.75" customHeight="1" s="85">
      <c r="A225" s="4" t="n"/>
      <c r="B225" s="4" t="n"/>
      <c r="C225" s="4" t="n"/>
    </row>
    <row r="226" ht="15.75" customHeight="1" s="85">
      <c r="A226" s="4" t="n"/>
      <c r="B226" s="4" t="n"/>
      <c r="C226" s="4" t="n"/>
    </row>
    <row r="227" ht="15.75" customHeight="1" s="85">
      <c r="A227" s="4" t="n"/>
      <c r="B227" s="4" t="n"/>
      <c r="C227" s="4" t="n"/>
    </row>
    <row r="228" ht="15.75" customHeight="1" s="85">
      <c r="A228" s="4" t="n"/>
      <c r="B228" s="4" t="n"/>
      <c r="C228" s="4" t="n"/>
    </row>
    <row r="229" ht="15.75" customHeight="1" s="85">
      <c r="A229" s="4" t="n"/>
      <c r="B229" s="4" t="n"/>
      <c r="C229" s="4" t="n"/>
    </row>
    <row r="230" ht="15.75" customHeight="1" s="85">
      <c r="A230" s="4" t="n"/>
      <c r="B230" s="4" t="n"/>
      <c r="C230" s="4" t="n"/>
    </row>
    <row r="231" ht="15.75" customHeight="1" s="85">
      <c r="A231" s="4" t="n"/>
      <c r="B231" s="4" t="n"/>
      <c r="C231" s="4" t="n"/>
    </row>
    <row r="232" ht="15.75" customHeight="1" s="85">
      <c r="A232" s="4" t="n"/>
      <c r="B232" s="4" t="n"/>
      <c r="C232" s="4" t="n"/>
    </row>
    <row r="233" ht="15.75" customHeight="1" s="85">
      <c r="A233" s="4" t="n"/>
      <c r="B233" s="4" t="n"/>
      <c r="C233" s="4" t="n"/>
    </row>
    <row r="234" ht="15.75" customHeight="1" s="85">
      <c r="A234" s="4" t="n"/>
      <c r="B234" s="4" t="n"/>
      <c r="C234" s="4" t="n"/>
    </row>
    <row r="235" ht="15.75" customHeight="1" s="85">
      <c r="A235" s="4" t="n"/>
      <c r="B235" s="4" t="n"/>
      <c r="C235" s="4" t="n"/>
    </row>
    <row r="236" ht="15.75" customHeight="1" s="85">
      <c r="A236" s="4" t="n"/>
      <c r="B236" s="4" t="n"/>
      <c r="C236" s="4" t="n"/>
    </row>
    <row r="237" ht="15.75" customHeight="1" s="85">
      <c r="A237" s="4" t="n"/>
      <c r="B237" s="4" t="n"/>
      <c r="C237" s="4" t="n"/>
    </row>
    <row r="238" ht="15.75" customHeight="1" s="85">
      <c r="A238" s="4" t="n"/>
      <c r="B238" s="4" t="n"/>
      <c r="C238" s="4" t="n"/>
    </row>
    <row r="239" ht="15.75" customHeight="1" s="85">
      <c r="A239" s="4" t="n"/>
      <c r="B239" s="4" t="n"/>
      <c r="C239" s="4" t="n"/>
    </row>
    <row r="240" ht="15.75" customHeight="1" s="85">
      <c r="A240" s="4" t="n"/>
      <c r="B240" s="4" t="n"/>
      <c r="C240" s="4" t="n"/>
    </row>
    <row r="241" ht="15.75" customHeight="1" s="85">
      <c r="A241" s="4" t="n"/>
      <c r="B241" s="4" t="n"/>
      <c r="C241" s="4" t="n"/>
    </row>
    <row r="242" ht="15.75" customHeight="1" s="85">
      <c r="A242" s="4" t="n"/>
      <c r="B242" s="4" t="n"/>
      <c r="C242" s="4" t="n"/>
    </row>
    <row r="243" ht="15.75" customHeight="1" s="85">
      <c r="A243" s="4" t="n"/>
      <c r="B243" s="4" t="n"/>
      <c r="C243" s="4" t="n"/>
    </row>
    <row r="244" ht="15.75" customHeight="1" s="85">
      <c r="A244" s="4" t="n"/>
      <c r="B244" s="4" t="n"/>
      <c r="C244" s="4" t="n"/>
    </row>
    <row r="245" ht="15.75" customHeight="1" s="85">
      <c r="A245" s="4" t="n"/>
      <c r="B245" s="4" t="n"/>
      <c r="C245" s="4" t="n"/>
    </row>
    <row r="246" ht="15.75" customHeight="1" s="85">
      <c r="A246" s="4" t="n"/>
      <c r="B246" s="4" t="n"/>
      <c r="C246" s="4" t="n"/>
    </row>
    <row r="247" ht="15.75" customHeight="1" s="85">
      <c r="A247" s="4" t="n"/>
      <c r="B247" s="4" t="n"/>
      <c r="C247" s="4" t="n"/>
    </row>
    <row r="248" ht="15.75" customHeight="1" s="85">
      <c r="A248" s="4" t="n"/>
      <c r="B248" s="4" t="n"/>
      <c r="C248" s="4" t="n"/>
    </row>
    <row r="249" ht="15.75" customHeight="1" s="85">
      <c r="A249" s="4" t="n"/>
      <c r="B249" s="4" t="n"/>
      <c r="C249" s="4" t="n"/>
    </row>
    <row r="250" ht="15.75" customHeight="1" s="85">
      <c r="A250" s="4" t="n"/>
      <c r="B250" s="4" t="n"/>
      <c r="C250" s="4" t="n"/>
    </row>
    <row r="251" ht="15.75" customHeight="1" s="85">
      <c r="A251" s="4" t="n"/>
      <c r="B251" s="4" t="n"/>
      <c r="C251" s="4" t="n"/>
    </row>
    <row r="252" ht="15.75" customHeight="1" s="85">
      <c r="A252" s="4" t="n"/>
      <c r="B252" s="4" t="n"/>
      <c r="C252" s="4" t="n"/>
    </row>
    <row r="253" ht="15.75" customHeight="1" s="85">
      <c r="A253" s="4" t="n"/>
      <c r="B253" s="4" t="n"/>
      <c r="C253" s="4" t="n"/>
    </row>
    <row r="254" ht="15.75" customHeight="1" s="85">
      <c r="A254" s="4" t="n"/>
      <c r="B254" s="4" t="n"/>
      <c r="C254" s="4" t="n"/>
    </row>
    <row r="255" ht="15.75" customHeight="1" s="85">
      <c r="A255" s="4" t="n"/>
      <c r="B255" s="4" t="n"/>
      <c r="C255" s="4" t="n"/>
    </row>
    <row r="256" ht="15.75" customHeight="1" s="85">
      <c r="A256" s="4" t="n"/>
      <c r="B256" s="4" t="n"/>
      <c r="C256" s="4" t="n"/>
    </row>
    <row r="257" ht="15.75" customHeight="1" s="85">
      <c r="A257" s="4" t="n"/>
      <c r="B257" s="4" t="n"/>
      <c r="C257" s="4" t="n"/>
    </row>
    <row r="258" ht="15.75" customHeight="1" s="85">
      <c r="A258" s="4" t="n"/>
      <c r="B258" s="4" t="n"/>
      <c r="C258" s="4" t="n"/>
    </row>
    <row r="259" ht="15.75" customHeight="1" s="85">
      <c r="A259" s="4" t="n"/>
      <c r="B259" s="4" t="n"/>
      <c r="C259" s="4" t="n"/>
    </row>
    <row r="260" ht="15.75" customHeight="1" s="85">
      <c r="A260" s="4" t="n"/>
      <c r="B260" s="4" t="n"/>
      <c r="C260" s="4" t="n"/>
    </row>
    <row r="261" ht="15.75" customHeight="1" s="85">
      <c r="A261" s="4" t="n"/>
      <c r="B261" s="4" t="n"/>
      <c r="C261" s="4" t="n"/>
    </row>
    <row r="262" ht="15.75" customHeight="1" s="85">
      <c r="A262" s="4" t="n"/>
      <c r="B262" s="4" t="n"/>
      <c r="C262" s="4" t="n"/>
    </row>
    <row r="263" ht="15.75" customHeight="1" s="85">
      <c r="A263" s="4" t="n"/>
      <c r="B263" s="4" t="n"/>
      <c r="C263" s="4" t="n"/>
    </row>
    <row r="264" ht="15.75" customHeight="1" s="85">
      <c r="A264" s="4" t="n"/>
      <c r="B264" s="4" t="n"/>
      <c r="C264" s="4" t="n"/>
    </row>
    <row r="265" ht="15.75" customHeight="1" s="85">
      <c r="A265" s="4" t="n"/>
      <c r="B265" s="4" t="n"/>
      <c r="C265" s="4" t="n"/>
    </row>
    <row r="266" ht="15.75" customHeight="1" s="85">
      <c r="A266" s="4" t="n"/>
      <c r="B266" s="4" t="n"/>
      <c r="C266" s="4" t="n"/>
    </row>
    <row r="267" ht="15.75" customHeight="1" s="85">
      <c r="A267" s="4" t="n"/>
      <c r="B267" s="4" t="n"/>
      <c r="C267" s="4" t="n"/>
    </row>
    <row r="268" ht="15.75" customHeight="1" s="85">
      <c r="A268" s="4" t="n"/>
      <c r="B268" s="4" t="n"/>
      <c r="C268" s="4" t="n"/>
    </row>
    <row r="269" ht="15.75" customHeight="1" s="85">
      <c r="A269" s="4" t="n"/>
      <c r="B269" s="4" t="n"/>
      <c r="C269" s="4" t="n"/>
    </row>
    <row r="270" ht="15.75" customHeight="1" s="85">
      <c r="A270" s="4" t="n"/>
      <c r="B270" s="4" t="n"/>
      <c r="C270" s="4" t="n"/>
    </row>
    <row r="271" ht="15.75" customHeight="1" s="85">
      <c r="A271" s="4" t="n"/>
      <c r="B271" s="4" t="n"/>
      <c r="C271" s="4" t="n"/>
    </row>
    <row r="272" ht="15.75" customHeight="1" s="85">
      <c r="A272" s="4" t="n"/>
      <c r="B272" s="4" t="n"/>
      <c r="C272" s="4" t="n"/>
    </row>
    <row r="273" ht="15.75" customHeight="1" s="85">
      <c r="A273" s="4" t="n"/>
      <c r="B273" s="4" t="n"/>
      <c r="C273" s="4" t="n"/>
    </row>
    <row r="274" ht="15.75" customHeight="1" s="85">
      <c r="A274" s="4" t="n"/>
      <c r="B274" s="4" t="n"/>
      <c r="C274" s="4" t="n"/>
    </row>
    <row r="275" ht="15.75" customHeight="1" s="85">
      <c r="A275" s="4" t="n"/>
      <c r="B275" s="4" t="n"/>
      <c r="C275" s="4" t="n"/>
    </row>
    <row r="276" ht="15.75" customHeight="1" s="85">
      <c r="A276" s="4" t="n"/>
      <c r="B276" s="4" t="n"/>
      <c r="C276" s="4" t="n"/>
    </row>
    <row r="277" ht="15.75" customHeight="1" s="85">
      <c r="A277" s="4" t="n"/>
      <c r="B277" s="4" t="n"/>
      <c r="C277" s="4" t="n"/>
    </row>
    <row r="278" ht="15.75" customHeight="1" s="85">
      <c r="A278" s="4" t="n"/>
      <c r="B278" s="4" t="n"/>
      <c r="C278" s="4" t="n"/>
    </row>
    <row r="279" ht="15.75" customHeight="1" s="85">
      <c r="A279" s="4" t="n"/>
      <c r="B279" s="4" t="n"/>
      <c r="C279" s="4" t="n"/>
    </row>
    <row r="280" ht="15.75" customHeight="1" s="85">
      <c r="A280" s="4" t="n"/>
      <c r="B280" s="4" t="n"/>
      <c r="C280" s="4" t="n"/>
    </row>
    <row r="281" ht="15.75" customHeight="1" s="85">
      <c r="A281" s="4" t="n"/>
      <c r="B281" s="4" t="n"/>
      <c r="C281" s="4" t="n"/>
    </row>
    <row r="282" ht="15.75" customHeight="1" s="85">
      <c r="A282" s="4" t="n"/>
      <c r="B282" s="4" t="n"/>
      <c r="C282" s="4" t="n"/>
    </row>
    <row r="283" ht="15.75" customHeight="1" s="85">
      <c r="A283" s="4" t="n"/>
      <c r="B283" s="4" t="n"/>
      <c r="C283" s="4" t="n"/>
    </row>
    <row r="284" ht="15.75" customHeight="1" s="85">
      <c r="A284" s="4" t="n"/>
      <c r="B284" s="4" t="n"/>
      <c r="C284" s="4" t="n"/>
    </row>
    <row r="285" ht="15.75" customHeight="1" s="85">
      <c r="A285" s="4" t="n"/>
      <c r="B285" s="4" t="n"/>
      <c r="C285" s="4" t="n"/>
    </row>
    <row r="286" ht="15.75" customHeight="1" s="85">
      <c r="A286" s="4" t="n"/>
      <c r="B286" s="4" t="n"/>
      <c r="C286" s="4" t="n"/>
    </row>
    <row r="287" ht="15.75" customHeight="1" s="85">
      <c r="A287" s="4" t="n"/>
      <c r="B287" s="4" t="n"/>
      <c r="C287" s="4" t="n"/>
    </row>
    <row r="288" ht="15.75" customHeight="1" s="85">
      <c r="A288" s="4" t="n"/>
      <c r="B288" s="4" t="n"/>
      <c r="C288" s="4" t="n"/>
    </row>
    <row r="289" ht="15.75" customHeight="1" s="85">
      <c r="A289" s="4" t="n"/>
      <c r="B289" s="4" t="n"/>
      <c r="C289" s="4" t="n"/>
    </row>
    <row r="290" ht="15.75" customHeight="1" s="85">
      <c r="A290" s="4" t="n"/>
      <c r="B290" s="4" t="n"/>
      <c r="C290" s="4" t="n"/>
    </row>
    <row r="291" ht="15.75" customHeight="1" s="85">
      <c r="A291" s="4" t="n"/>
      <c r="B291" s="4" t="n"/>
      <c r="C291" s="4" t="n"/>
    </row>
    <row r="292" ht="15.75" customHeight="1" s="85">
      <c r="A292" s="4" t="n"/>
      <c r="B292" s="4" t="n"/>
      <c r="C292" s="4" t="n"/>
    </row>
    <row r="293" ht="15.75" customHeight="1" s="85">
      <c r="A293" s="4" t="n"/>
      <c r="B293" s="4" t="n"/>
      <c r="C293" s="4" t="n"/>
    </row>
    <row r="294" ht="15.75" customHeight="1" s="85">
      <c r="A294" s="4" t="n"/>
      <c r="B294" s="4" t="n"/>
      <c r="C294" s="4" t="n"/>
    </row>
    <row r="295" ht="15.75" customHeight="1" s="85">
      <c r="A295" s="4" t="n"/>
      <c r="B295" s="4" t="n"/>
      <c r="C295" s="4" t="n"/>
    </row>
    <row r="296" ht="15.75" customHeight="1" s="85">
      <c r="A296" s="4" t="n"/>
      <c r="B296" s="4" t="n"/>
      <c r="C296" s="4" t="n"/>
    </row>
    <row r="297" ht="15.75" customHeight="1" s="85">
      <c r="A297" s="4" t="n"/>
      <c r="B297" s="4" t="n"/>
      <c r="C297" s="4" t="n"/>
    </row>
    <row r="298" ht="15.75" customHeight="1" s="85">
      <c r="A298" s="4" t="n"/>
      <c r="B298" s="4" t="n"/>
      <c r="C298" s="4" t="n"/>
    </row>
    <row r="299" ht="15.75" customHeight="1" s="85">
      <c r="A299" s="4" t="n"/>
      <c r="B299" s="4" t="n"/>
      <c r="C299" s="4" t="n"/>
    </row>
    <row r="300" ht="15.75" customHeight="1" s="85">
      <c r="A300" s="4" t="n"/>
      <c r="B300" s="4" t="n"/>
      <c r="C300" s="4" t="n"/>
    </row>
    <row r="301" ht="15.75" customHeight="1" s="85">
      <c r="A301" s="4" t="n"/>
      <c r="B301" s="4" t="n"/>
      <c r="C301" s="4" t="n"/>
    </row>
    <row r="302" ht="15.75" customHeight="1" s="85">
      <c r="A302" s="4" t="n"/>
      <c r="B302" s="4" t="n"/>
      <c r="C302" s="4" t="n"/>
    </row>
    <row r="303" ht="15.75" customHeight="1" s="85">
      <c r="A303" s="4" t="n"/>
      <c r="B303" s="4" t="n"/>
      <c r="C303" s="4" t="n"/>
    </row>
    <row r="304" ht="15.75" customHeight="1" s="85">
      <c r="A304" s="4" t="n"/>
      <c r="B304" s="4" t="n"/>
      <c r="C304" s="4" t="n"/>
    </row>
    <row r="305" ht="15.75" customHeight="1" s="85">
      <c r="A305" s="4" t="n"/>
      <c r="B305" s="4" t="n"/>
      <c r="C305" s="4" t="n"/>
    </row>
    <row r="306" ht="15.75" customHeight="1" s="85">
      <c r="A306" s="4" t="n"/>
      <c r="B306" s="4" t="n"/>
      <c r="C306" s="4" t="n"/>
    </row>
    <row r="307" ht="15.75" customHeight="1" s="85">
      <c r="A307" s="4" t="n"/>
      <c r="B307" s="4" t="n"/>
      <c r="C307" s="4" t="n"/>
    </row>
    <row r="308" ht="15.75" customHeight="1" s="85">
      <c r="A308" s="4" t="n"/>
      <c r="B308" s="4" t="n"/>
      <c r="C308" s="4" t="n"/>
    </row>
    <row r="309" ht="15.75" customHeight="1" s="85">
      <c r="A309" s="4" t="n"/>
      <c r="B309" s="4" t="n"/>
      <c r="C309" s="4" t="n"/>
    </row>
    <row r="310" ht="15.75" customHeight="1" s="85">
      <c r="A310" s="4" t="n"/>
      <c r="B310" s="4" t="n"/>
      <c r="C310" s="4" t="n"/>
    </row>
    <row r="311" ht="15.75" customHeight="1" s="85">
      <c r="A311" s="4" t="n"/>
      <c r="B311" s="4" t="n"/>
      <c r="C311" s="4" t="n"/>
    </row>
    <row r="312" ht="15.75" customHeight="1" s="85">
      <c r="A312" s="4" t="n"/>
      <c r="B312" s="4" t="n"/>
      <c r="C312" s="4" t="n"/>
    </row>
    <row r="313" ht="15.75" customHeight="1" s="85">
      <c r="A313" s="4" t="n"/>
      <c r="B313" s="4" t="n"/>
      <c r="C313" s="4" t="n"/>
    </row>
    <row r="314" ht="15.75" customHeight="1" s="85">
      <c r="A314" s="4" t="n"/>
      <c r="B314" s="4" t="n"/>
      <c r="C314" s="4" t="n"/>
    </row>
    <row r="315" ht="15.75" customHeight="1" s="85">
      <c r="A315" s="4" t="n"/>
      <c r="B315" s="4" t="n"/>
      <c r="C315" s="4" t="n"/>
    </row>
    <row r="316" ht="15.75" customHeight="1" s="85">
      <c r="A316" s="4" t="n"/>
      <c r="B316" s="4" t="n"/>
      <c r="C316" s="4" t="n"/>
    </row>
    <row r="317" ht="15.75" customHeight="1" s="85">
      <c r="A317" s="4" t="n"/>
      <c r="B317" s="4" t="n"/>
      <c r="C317" s="4" t="n"/>
    </row>
    <row r="318" ht="15.75" customHeight="1" s="85">
      <c r="A318" s="4" t="n"/>
      <c r="B318" s="4" t="n"/>
      <c r="C318" s="4" t="n"/>
    </row>
    <row r="319" ht="15.75" customHeight="1" s="85">
      <c r="A319" s="4" t="n"/>
      <c r="B319" s="4" t="n"/>
      <c r="C319" s="4" t="n"/>
    </row>
    <row r="320" ht="15.75" customHeight="1" s="85">
      <c r="A320" s="4" t="n"/>
      <c r="B320" s="4" t="n"/>
      <c r="C320" s="4" t="n"/>
    </row>
    <row r="321" ht="15.75" customHeight="1" s="85">
      <c r="A321" s="4" t="n"/>
      <c r="B321" s="4" t="n"/>
      <c r="C321" s="4" t="n"/>
    </row>
    <row r="322" ht="15.75" customHeight="1" s="85">
      <c r="A322" s="4" t="n"/>
      <c r="B322" s="4" t="n"/>
      <c r="C322" s="4" t="n"/>
    </row>
    <row r="323" ht="15.75" customHeight="1" s="85">
      <c r="A323" s="4" t="n"/>
      <c r="B323" s="4" t="n"/>
      <c r="C323" s="4" t="n"/>
    </row>
    <row r="324" ht="15.75" customHeight="1" s="85">
      <c r="A324" s="4" t="n"/>
      <c r="B324" s="4" t="n"/>
      <c r="C324" s="4" t="n"/>
    </row>
    <row r="325" ht="15.75" customHeight="1" s="85">
      <c r="A325" s="4" t="n"/>
      <c r="B325" s="4" t="n"/>
      <c r="C325" s="4" t="n"/>
    </row>
    <row r="326" ht="15.75" customHeight="1" s="85">
      <c r="A326" s="4" t="n"/>
      <c r="B326" s="4" t="n"/>
      <c r="C326" s="4" t="n"/>
    </row>
    <row r="327" ht="15.75" customHeight="1" s="85">
      <c r="A327" s="4" t="n"/>
      <c r="B327" s="4" t="n"/>
      <c r="C327" s="4" t="n"/>
    </row>
    <row r="328" ht="15.75" customHeight="1" s="85">
      <c r="A328" s="4" t="n"/>
      <c r="B328" s="4" t="n"/>
      <c r="C328" s="4" t="n"/>
    </row>
    <row r="329" ht="15.75" customHeight="1" s="85">
      <c r="A329" s="4" t="n"/>
      <c r="B329" s="4" t="n"/>
      <c r="C329" s="4" t="n"/>
    </row>
    <row r="330" ht="15.75" customHeight="1" s="85">
      <c r="A330" s="4" t="n"/>
      <c r="B330" s="4" t="n"/>
      <c r="C330" s="4" t="n"/>
    </row>
    <row r="331" ht="15.75" customHeight="1" s="85">
      <c r="A331" s="4" t="n"/>
      <c r="B331" s="4" t="n"/>
      <c r="C331" s="4" t="n"/>
    </row>
    <row r="332" ht="15.75" customHeight="1" s="85">
      <c r="A332" s="4" t="n"/>
      <c r="B332" s="4" t="n"/>
      <c r="C332" s="4" t="n"/>
    </row>
    <row r="333" ht="15.75" customHeight="1" s="85">
      <c r="A333" s="4" t="n"/>
      <c r="B333" s="4" t="n"/>
      <c r="C333" s="4" t="n"/>
    </row>
    <row r="334" ht="15.75" customHeight="1" s="85">
      <c r="A334" s="4" t="n"/>
      <c r="B334" s="4" t="n"/>
      <c r="C334" s="4" t="n"/>
    </row>
    <row r="335" ht="15.75" customHeight="1" s="85">
      <c r="A335" s="4" t="n"/>
      <c r="B335" s="4" t="n"/>
      <c r="C335" s="4" t="n"/>
    </row>
    <row r="336" ht="15.75" customHeight="1" s="85">
      <c r="A336" s="4" t="n"/>
      <c r="B336" s="4" t="n"/>
      <c r="C336" s="4" t="n"/>
    </row>
    <row r="337" ht="15.75" customHeight="1" s="85">
      <c r="A337" s="4" t="n"/>
      <c r="B337" s="4" t="n"/>
      <c r="C337" s="4" t="n"/>
    </row>
    <row r="338" ht="15.75" customHeight="1" s="85">
      <c r="A338" s="4" t="n"/>
      <c r="B338" s="4" t="n"/>
      <c r="C338" s="4" t="n"/>
    </row>
    <row r="339" ht="15.75" customHeight="1" s="85">
      <c r="A339" s="4" t="n"/>
      <c r="B339" s="4" t="n"/>
      <c r="C339" s="4" t="n"/>
    </row>
    <row r="340" ht="15.75" customHeight="1" s="85">
      <c r="A340" s="4" t="n"/>
      <c r="B340" s="4" t="n"/>
      <c r="C340" s="4" t="n"/>
    </row>
    <row r="341" ht="15.75" customHeight="1" s="85">
      <c r="A341" s="4" t="n"/>
      <c r="B341" s="4" t="n"/>
      <c r="C341" s="4" t="n"/>
    </row>
    <row r="342" ht="15.75" customHeight="1" s="85">
      <c r="A342" s="4" t="n"/>
      <c r="B342" s="4" t="n"/>
      <c r="C342" s="4" t="n"/>
    </row>
    <row r="343" ht="15.75" customHeight="1" s="85">
      <c r="A343" s="4" t="n"/>
      <c r="B343" s="4" t="n"/>
      <c r="C343" s="4" t="n"/>
    </row>
    <row r="344" ht="15.75" customHeight="1" s="85">
      <c r="A344" s="4" t="n"/>
      <c r="B344" s="4" t="n"/>
      <c r="C344" s="4" t="n"/>
    </row>
    <row r="345" ht="15.75" customHeight="1" s="85">
      <c r="A345" s="4" t="n"/>
      <c r="B345" s="4" t="n"/>
      <c r="C345" s="4" t="n"/>
    </row>
    <row r="346" ht="15.75" customHeight="1" s="85">
      <c r="A346" s="4" t="n"/>
      <c r="B346" s="4" t="n"/>
      <c r="C346" s="4" t="n"/>
    </row>
    <row r="347" ht="15.75" customHeight="1" s="85">
      <c r="A347" s="4" t="n"/>
      <c r="B347" s="4" t="n"/>
      <c r="C347" s="4" t="n"/>
    </row>
    <row r="348" ht="15.75" customHeight="1" s="85">
      <c r="A348" s="4" t="n"/>
      <c r="B348" s="4" t="n"/>
      <c r="C348" s="4" t="n"/>
    </row>
    <row r="349" ht="15.75" customHeight="1" s="85">
      <c r="A349" s="4" t="n"/>
      <c r="B349" s="4" t="n"/>
      <c r="C349" s="4" t="n"/>
    </row>
    <row r="350" ht="15.75" customHeight="1" s="85">
      <c r="A350" s="4" t="n"/>
      <c r="B350" s="4" t="n"/>
      <c r="C350" s="4" t="n"/>
    </row>
    <row r="351" ht="15.75" customHeight="1" s="85">
      <c r="A351" s="4" t="n"/>
      <c r="B351" s="4" t="n"/>
      <c r="C351" s="4" t="n"/>
    </row>
    <row r="352" ht="15.75" customHeight="1" s="85">
      <c r="A352" s="4" t="n"/>
      <c r="B352" s="4" t="n"/>
      <c r="C352" s="4" t="n"/>
    </row>
    <row r="353" ht="15.75" customHeight="1" s="85">
      <c r="A353" s="4" t="n"/>
      <c r="B353" s="4" t="n"/>
      <c r="C353" s="4" t="n"/>
    </row>
    <row r="354" ht="15.75" customHeight="1" s="85">
      <c r="A354" s="4" t="n"/>
      <c r="B354" s="4" t="n"/>
      <c r="C354" s="4" t="n"/>
    </row>
    <row r="355" ht="15.75" customHeight="1" s="85">
      <c r="A355" s="4" t="n"/>
      <c r="B355" s="4" t="n"/>
      <c r="C355" s="4" t="n"/>
    </row>
    <row r="356" ht="15.75" customHeight="1" s="85">
      <c r="A356" s="4" t="n"/>
      <c r="B356" s="4" t="n"/>
      <c r="C356" s="4" t="n"/>
    </row>
    <row r="357" ht="15.75" customHeight="1" s="85">
      <c r="A357" s="4" t="n"/>
      <c r="B357" s="4" t="n"/>
      <c r="C357" s="4" t="n"/>
    </row>
    <row r="358" ht="15.75" customHeight="1" s="85">
      <c r="A358" s="4" t="n"/>
      <c r="B358" s="4" t="n"/>
      <c r="C358" s="4" t="n"/>
    </row>
    <row r="359" ht="15.75" customHeight="1" s="85">
      <c r="A359" s="4" t="n"/>
      <c r="B359" s="4" t="n"/>
      <c r="C359" s="4" t="n"/>
    </row>
    <row r="360" ht="15.75" customHeight="1" s="85">
      <c r="A360" s="4" t="n"/>
      <c r="B360" s="4" t="n"/>
      <c r="C360" s="4" t="n"/>
    </row>
    <row r="361" ht="15.75" customHeight="1" s="85">
      <c r="A361" s="4" t="n"/>
      <c r="B361" s="4" t="n"/>
      <c r="C361" s="4" t="n"/>
    </row>
    <row r="362" ht="15.75" customHeight="1" s="85">
      <c r="A362" s="4" t="n"/>
      <c r="B362" s="4" t="n"/>
      <c r="C362" s="4" t="n"/>
    </row>
    <row r="363" ht="15.75" customHeight="1" s="85">
      <c r="A363" s="4" t="n"/>
      <c r="B363" s="4" t="n"/>
      <c r="C363" s="4" t="n"/>
    </row>
    <row r="364" ht="15.75" customHeight="1" s="85">
      <c r="A364" s="4" t="n"/>
      <c r="B364" s="4" t="n"/>
      <c r="C364" s="4" t="n"/>
    </row>
    <row r="365" ht="15.75" customHeight="1" s="85">
      <c r="A365" s="4" t="n"/>
      <c r="B365" s="4" t="n"/>
      <c r="C365" s="4" t="n"/>
    </row>
    <row r="366" ht="15.75" customHeight="1" s="85">
      <c r="A366" s="4" t="n"/>
      <c r="B366" s="4" t="n"/>
      <c r="C366" s="4" t="n"/>
    </row>
    <row r="367" ht="15.75" customHeight="1" s="85">
      <c r="A367" s="4" t="n"/>
      <c r="B367" s="4" t="n"/>
      <c r="C367" s="4" t="n"/>
    </row>
    <row r="368" ht="15.75" customHeight="1" s="85">
      <c r="A368" s="4" t="n"/>
      <c r="B368" s="4" t="n"/>
      <c r="C368" s="4" t="n"/>
    </row>
    <row r="369" ht="15.75" customHeight="1" s="85">
      <c r="A369" s="4" t="n"/>
      <c r="B369" s="4" t="n"/>
      <c r="C369" s="4" t="n"/>
    </row>
    <row r="370" ht="15.75" customHeight="1" s="85">
      <c r="A370" s="4" t="n"/>
      <c r="B370" s="4" t="n"/>
      <c r="C370" s="4" t="n"/>
    </row>
    <row r="371" ht="15.75" customHeight="1" s="85">
      <c r="A371" s="4" t="n"/>
      <c r="B371" s="4" t="n"/>
      <c r="C371" s="4" t="n"/>
    </row>
    <row r="372" ht="15.75" customHeight="1" s="85">
      <c r="A372" s="4" t="n"/>
      <c r="B372" s="4" t="n"/>
      <c r="C372" s="4" t="n"/>
    </row>
    <row r="373" ht="15.75" customHeight="1" s="85">
      <c r="A373" s="4" t="n"/>
      <c r="B373" s="4" t="n"/>
      <c r="C373" s="4" t="n"/>
    </row>
    <row r="374" ht="15.75" customHeight="1" s="85">
      <c r="A374" s="4" t="n"/>
      <c r="B374" s="4" t="n"/>
      <c r="C374" s="4" t="n"/>
    </row>
    <row r="375" ht="15.75" customHeight="1" s="85">
      <c r="A375" s="4" t="n"/>
      <c r="B375" s="4" t="n"/>
      <c r="C375" s="4" t="n"/>
    </row>
    <row r="376" ht="15.75" customHeight="1" s="85">
      <c r="A376" s="4" t="n"/>
      <c r="B376" s="4" t="n"/>
      <c r="C376" s="4" t="n"/>
    </row>
    <row r="377" ht="15.75" customHeight="1" s="85">
      <c r="A377" s="4" t="n"/>
      <c r="B377" s="4" t="n"/>
      <c r="C377" s="4" t="n"/>
    </row>
    <row r="378" ht="15.75" customHeight="1" s="85">
      <c r="A378" s="4" t="n"/>
      <c r="B378" s="4" t="n"/>
      <c r="C378" s="4" t="n"/>
    </row>
    <row r="379" ht="15.75" customHeight="1" s="85">
      <c r="A379" s="4" t="n"/>
      <c r="B379" s="4" t="n"/>
      <c r="C379" s="4" t="n"/>
    </row>
    <row r="380" ht="15.75" customHeight="1" s="85">
      <c r="A380" s="4" t="n"/>
      <c r="B380" s="4" t="n"/>
      <c r="C380" s="4" t="n"/>
    </row>
    <row r="381" ht="15.75" customHeight="1" s="85">
      <c r="A381" s="4" t="n"/>
      <c r="B381" s="4" t="n"/>
      <c r="C381" s="4" t="n"/>
    </row>
    <row r="382" ht="15.75" customHeight="1" s="85">
      <c r="A382" s="4" t="n"/>
      <c r="B382" s="4" t="n"/>
      <c r="C382" s="4" t="n"/>
    </row>
    <row r="383" ht="15.75" customHeight="1" s="85">
      <c r="A383" s="4" t="n"/>
      <c r="B383" s="4" t="n"/>
      <c r="C383" s="4" t="n"/>
    </row>
    <row r="384" ht="15.75" customHeight="1" s="85">
      <c r="A384" s="4" t="n"/>
      <c r="B384" s="4" t="n"/>
      <c r="C384" s="4" t="n"/>
    </row>
    <row r="385" ht="15.75" customHeight="1" s="85">
      <c r="A385" s="4" t="n"/>
      <c r="B385" s="4" t="n"/>
      <c r="C385" s="4" t="n"/>
    </row>
    <row r="386" ht="15.75" customHeight="1" s="85">
      <c r="A386" s="4" t="n"/>
      <c r="B386" s="4" t="n"/>
      <c r="C386" s="4" t="n"/>
    </row>
    <row r="387" ht="15.75" customHeight="1" s="85">
      <c r="A387" s="4" t="n"/>
      <c r="B387" s="4" t="n"/>
      <c r="C387" s="4" t="n"/>
    </row>
    <row r="388" ht="15.75" customHeight="1" s="85">
      <c r="A388" s="4" t="n"/>
      <c r="B388" s="4" t="n"/>
      <c r="C388" s="4" t="n"/>
    </row>
    <row r="389" ht="15.75" customHeight="1" s="85">
      <c r="A389" s="4" t="n"/>
      <c r="B389" s="4" t="n"/>
      <c r="C389" s="4" t="n"/>
    </row>
    <row r="390" ht="15.75" customHeight="1" s="85">
      <c r="A390" s="4" t="n"/>
      <c r="B390" s="4" t="n"/>
      <c r="C390" s="4" t="n"/>
    </row>
    <row r="391" ht="15.75" customHeight="1" s="85">
      <c r="A391" s="4" t="n"/>
      <c r="B391" s="4" t="n"/>
      <c r="C391" s="4" t="n"/>
    </row>
    <row r="392" ht="15.75" customHeight="1" s="85">
      <c r="A392" s="4" t="n"/>
      <c r="B392" s="4" t="n"/>
      <c r="C392" s="4" t="n"/>
    </row>
    <row r="393" ht="15.75" customHeight="1" s="85">
      <c r="A393" s="4" t="n"/>
      <c r="B393" s="4" t="n"/>
      <c r="C393" s="4" t="n"/>
    </row>
    <row r="394" ht="15.75" customHeight="1" s="85">
      <c r="A394" s="4" t="n"/>
      <c r="B394" s="4" t="n"/>
      <c r="C394" s="4" t="n"/>
    </row>
    <row r="395" ht="15.75" customHeight="1" s="85">
      <c r="A395" s="4" t="n"/>
      <c r="B395" s="4" t="n"/>
      <c r="C395" s="4" t="n"/>
    </row>
    <row r="396" ht="15.75" customHeight="1" s="85">
      <c r="A396" s="4" t="n"/>
      <c r="B396" s="4" t="n"/>
      <c r="C396" s="4" t="n"/>
    </row>
    <row r="397" ht="15.75" customHeight="1" s="85">
      <c r="A397" s="4" t="n"/>
      <c r="B397" s="4" t="n"/>
      <c r="C397" s="4" t="n"/>
    </row>
    <row r="398" ht="15.75" customHeight="1" s="85">
      <c r="A398" s="4" t="n"/>
      <c r="B398" s="4" t="n"/>
      <c r="C398" s="4" t="n"/>
    </row>
    <row r="399" ht="15.75" customHeight="1" s="85">
      <c r="A399" s="4" t="n"/>
      <c r="B399" s="4" t="n"/>
      <c r="C399" s="4" t="n"/>
    </row>
    <row r="400" ht="15.75" customHeight="1" s="85">
      <c r="A400" s="4" t="n"/>
      <c r="B400" s="4" t="n"/>
      <c r="C400" s="4" t="n"/>
    </row>
    <row r="401" ht="15.75" customHeight="1" s="85">
      <c r="A401" s="4" t="n"/>
      <c r="B401" s="4" t="n"/>
      <c r="C401" s="4" t="n"/>
    </row>
    <row r="402" ht="15.75" customHeight="1" s="85">
      <c r="A402" s="4" t="n"/>
      <c r="B402" s="4" t="n"/>
      <c r="C402" s="4" t="n"/>
    </row>
    <row r="403" ht="15.75" customHeight="1" s="85">
      <c r="A403" s="4" t="n"/>
      <c r="B403" s="4" t="n"/>
      <c r="C403" s="4" t="n"/>
    </row>
    <row r="404" ht="15.75" customHeight="1" s="85">
      <c r="A404" s="4" t="n"/>
      <c r="B404" s="4" t="n"/>
      <c r="C404" s="4" t="n"/>
    </row>
    <row r="405" ht="15.75" customHeight="1" s="85">
      <c r="A405" s="4" t="n"/>
      <c r="B405" s="4" t="n"/>
      <c r="C405" s="4" t="n"/>
    </row>
    <row r="406" ht="15.75" customHeight="1" s="85">
      <c r="A406" s="4" t="n"/>
      <c r="B406" s="4" t="n"/>
      <c r="C406" s="4" t="n"/>
    </row>
    <row r="407" ht="15.75" customHeight="1" s="85">
      <c r="A407" s="4" t="n"/>
      <c r="B407" s="4" t="n"/>
      <c r="C407" s="4" t="n"/>
    </row>
    <row r="408" ht="15.75" customHeight="1" s="85">
      <c r="A408" s="4" t="n"/>
      <c r="B408" s="4" t="n"/>
      <c r="C408" s="4" t="n"/>
    </row>
    <row r="409" ht="15.75" customHeight="1" s="85">
      <c r="A409" s="4" t="n"/>
      <c r="B409" s="4" t="n"/>
      <c r="C409" s="4" t="n"/>
    </row>
    <row r="410" ht="15.75" customHeight="1" s="85">
      <c r="A410" s="4" t="n"/>
      <c r="B410" s="4" t="n"/>
      <c r="C410" s="4" t="n"/>
    </row>
    <row r="411" ht="15.75" customHeight="1" s="85">
      <c r="A411" s="4" t="n"/>
      <c r="B411" s="4" t="n"/>
      <c r="C411" s="4" t="n"/>
    </row>
    <row r="412" ht="15.75" customHeight="1" s="85">
      <c r="A412" s="4" t="n"/>
      <c r="B412" s="4" t="n"/>
      <c r="C412" s="4" t="n"/>
    </row>
    <row r="413" ht="15.75" customHeight="1" s="85">
      <c r="A413" s="4" t="n"/>
      <c r="B413" s="4" t="n"/>
      <c r="C413" s="4" t="n"/>
    </row>
    <row r="414" ht="15.75" customHeight="1" s="85">
      <c r="A414" s="4" t="n"/>
      <c r="B414" s="4" t="n"/>
      <c r="C414" s="4" t="n"/>
    </row>
    <row r="415" ht="15.75" customHeight="1" s="85">
      <c r="A415" s="4" t="n"/>
      <c r="B415" s="4" t="n"/>
      <c r="C415" s="4" t="n"/>
    </row>
    <row r="416" ht="15.75" customHeight="1" s="85">
      <c r="A416" s="4" t="n"/>
      <c r="B416" s="4" t="n"/>
      <c r="C416" s="4" t="n"/>
    </row>
    <row r="417" ht="15.75" customHeight="1" s="85">
      <c r="A417" s="4" t="n"/>
      <c r="B417" s="4" t="n"/>
      <c r="C417" s="4" t="n"/>
    </row>
    <row r="418" ht="15.75" customHeight="1" s="85">
      <c r="A418" s="4" t="n"/>
      <c r="B418" s="4" t="n"/>
      <c r="C418" s="4" t="n"/>
    </row>
    <row r="419" ht="15.75" customHeight="1" s="85">
      <c r="A419" s="4" t="n"/>
      <c r="B419" s="4" t="n"/>
      <c r="C419" s="4" t="n"/>
    </row>
    <row r="420" ht="15.75" customHeight="1" s="85">
      <c r="A420" s="4" t="n"/>
      <c r="B420" s="4" t="n"/>
      <c r="C420" s="4" t="n"/>
    </row>
    <row r="421" ht="15.75" customHeight="1" s="85">
      <c r="A421" s="4" t="n"/>
      <c r="B421" s="4" t="n"/>
      <c r="C421" s="4" t="n"/>
    </row>
    <row r="422" ht="15.75" customHeight="1" s="85">
      <c r="A422" s="4" t="n"/>
      <c r="B422" s="4" t="n"/>
      <c r="C422" s="4" t="n"/>
    </row>
    <row r="423" ht="15.75" customHeight="1" s="85">
      <c r="A423" s="4" t="n"/>
      <c r="B423" s="4" t="n"/>
      <c r="C423" s="4" t="n"/>
    </row>
    <row r="424" ht="15.75" customHeight="1" s="85">
      <c r="A424" s="4" t="n"/>
      <c r="B424" s="4" t="n"/>
      <c r="C424" s="4" t="n"/>
    </row>
    <row r="425" ht="15.75" customHeight="1" s="85">
      <c r="A425" s="4" t="n"/>
      <c r="B425" s="4" t="n"/>
      <c r="C425" s="4" t="n"/>
    </row>
    <row r="426" ht="15.75" customHeight="1" s="85">
      <c r="A426" s="4" t="n"/>
      <c r="B426" s="4" t="n"/>
      <c r="C426" s="4" t="n"/>
    </row>
    <row r="427" ht="15.75" customHeight="1" s="85">
      <c r="A427" s="4" t="n"/>
      <c r="B427" s="4" t="n"/>
      <c r="C427" s="4" t="n"/>
    </row>
    <row r="428" ht="15.75" customHeight="1" s="85">
      <c r="A428" s="4" t="n"/>
      <c r="B428" s="4" t="n"/>
      <c r="C428" s="4" t="n"/>
    </row>
    <row r="429" ht="15.75" customHeight="1" s="85">
      <c r="A429" s="4" t="n"/>
      <c r="B429" s="4" t="n"/>
      <c r="C429" s="4" t="n"/>
    </row>
    <row r="430" ht="15.75" customHeight="1" s="85">
      <c r="A430" s="4" t="n"/>
      <c r="B430" s="4" t="n"/>
      <c r="C430" s="4" t="n"/>
    </row>
    <row r="431" ht="15.75" customHeight="1" s="85">
      <c r="A431" s="4" t="n"/>
      <c r="B431" s="4" t="n"/>
      <c r="C431" s="4" t="n"/>
    </row>
    <row r="432" ht="15.75" customHeight="1" s="85">
      <c r="A432" s="4" t="n"/>
      <c r="B432" s="4" t="n"/>
      <c r="C432" s="4" t="n"/>
    </row>
    <row r="433" ht="15.75" customHeight="1" s="85">
      <c r="A433" s="4" t="n"/>
      <c r="B433" s="4" t="n"/>
      <c r="C433" s="4" t="n"/>
    </row>
    <row r="434" ht="15.75" customHeight="1" s="85">
      <c r="A434" s="4" t="n"/>
      <c r="B434" s="4" t="n"/>
      <c r="C434" s="4" t="n"/>
    </row>
    <row r="435" ht="15.75" customHeight="1" s="85">
      <c r="A435" s="4" t="n"/>
      <c r="B435" s="4" t="n"/>
      <c r="C435" s="4" t="n"/>
    </row>
    <row r="436" ht="15.75" customHeight="1" s="85">
      <c r="A436" s="4" t="n"/>
      <c r="B436" s="4" t="n"/>
      <c r="C436" s="4" t="n"/>
    </row>
    <row r="437" ht="15.75" customHeight="1" s="85">
      <c r="A437" s="4" t="n"/>
      <c r="B437" s="4" t="n"/>
      <c r="C437" s="4" t="n"/>
    </row>
    <row r="438" ht="15.75" customHeight="1" s="85">
      <c r="A438" s="4" t="n"/>
      <c r="B438" s="4" t="n"/>
      <c r="C438" s="4" t="n"/>
    </row>
    <row r="439" ht="15.75" customHeight="1" s="85">
      <c r="A439" s="4" t="n"/>
      <c r="B439" s="4" t="n"/>
      <c r="C439" s="4" t="n"/>
    </row>
    <row r="440" ht="15.75" customHeight="1" s="85">
      <c r="A440" s="4" t="n"/>
      <c r="B440" s="4" t="n"/>
      <c r="C440" s="4" t="n"/>
    </row>
    <row r="441" ht="15.75" customHeight="1" s="85">
      <c r="A441" s="4" t="n"/>
      <c r="B441" s="4" t="n"/>
      <c r="C441" s="4" t="n"/>
    </row>
    <row r="442" ht="15.75" customHeight="1" s="85">
      <c r="A442" s="4" t="n"/>
      <c r="B442" s="4" t="n"/>
      <c r="C442" s="4" t="n"/>
    </row>
    <row r="443" ht="15.75" customHeight="1" s="85">
      <c r="A443" s="4" t="n"/>
      <c r="B443" s="4" t="n"/>
      <c r="C443" s="4" t="n"/>
    </row>
    <row r="444" ht="15.75" customHeight="1" s="85">
      <c r="A444" s="4" t="n"/>
      <c r="B444" s="4" t="n"/>
      <c r="C444" s="4" t="n"/>
    </row>
    <row r="445" ht="15.75" customHeight="1" s="85">
      <c r="A445" s="4" t="n"/>
      <c r="B445" s="4" t="n"/>
      <c r="C445" s="4" t="n"/>
    </row>
    <row r="446" ht="15.75" customHeight="1" s="85">
      <c r="A446" s="4" t="n"/>
      <c r="B446" s="4" t="n"/>
      <c r="C446" s="4" t="n"/>
    </row>
    <row r="447" ht="15.75" customHeight="1" s="85">
      <c r="A447" s="4" t="n"/>
      <c r="B447" s="4" t="n"/>
      <c r="C447" s="4" t="n"/>
    </row>
    <row r="448" ht="15.75" customHeight="1" s="85">
      <c r="A448" s="4" t="n"/>
      <c r="B448" s="4" t="n"/>
      <c r="C448" s="4" t="n"/>
    </row>
    <row r="449" ht="15.75" customHeight="1" s="85">
      <c r="A449" s="4" t="n"/>
      <c r="B449" s="4" t="n"/>
      <c r="C449" s="4" t="n"/>
    </row>
    <row r="450" ht="15.75" customHeight="1" s="85">
      <c r="A450" s="4" t="n"/>
      <c r="B450" s="4" t="n"/>
      <c r="C450" s="4" t="n"/>
    </row>
    <row r="451" ht="15.75" customHeight="1" s="85">
      <c r="A451" s="4" t="n"/>
      <c r="B451" s="4" t="n"/>
      <c r="C451" s="4" t="n"/>
    </row>
    <row r="452" ht="15.75" customHeight="1" s="85">
      <c r="A452" s="4" t="n"/>
      <c r="B452" s="4" t="n"/>
      <c r="C452" s="4" t="n"/>
    </row>
    <row r="453" ht="15.75" customHeight="1" s="85">
      <c r="A453" s="4" t="n"/>
      <c r="B453" s="4" t="n"/>
      <c r="C453" s="4" t="n"/>
    </row>
    <row r="454" ht="15.75" customHeight="1" s="85">
      <c r="A454" s="4" t="n"/>
      <c r="B454" s="4" t="n"/>
      <c r="C454" s="4" t="n"/>
    </row>
    <row r="455" ht="15.75" customHeight="1" s="85">
      <c r="A455" s="4" t="n"/>
      <c r="B455" s="4" t="n"/>
      <c r="C455" s="4" t="n"/>
    </row>
    <row r="456" ht="15.75" customHeight="1" s="85">
      <c r="A456" s="4" t="n"/>
      <c r="B456" s="4" t="n"/>
      <c r="C456" s="4" t="n"/>
    </row>
    <row r="457" ht="15.75" customHeight="1" s="85">
      <c r="A457" s="4" t="n"/>
      <c r="B457" s="4" t="n"/>
      <c r="C457" s="4" t="n"/>
    </row>
    <row r="458" ht="15.75" customHeight="1" s="85">
      <c r="A458" s="4" t="n"/>
      <c r="B458" s="4" t="n"/>
      <c r="C458" s="4" t="n"/>
    </row>
    <row r="459" ht="15.75" customHeight="1" s="85">
      <c r="A459" s="4" t="n"/>
      <c r="B459" s="4" t="n"/>
      <c r="C459" s="4" t="n"/>
    </row>
    <row r="460" ht="15.75" customHeight="1" s="85">
      <c r="A460" s="4" t="n"/>
      <c r="B460" s="4" t="n"/>
      <c r="C460" s="4" t="n"/>
    </row>
    <row r="461" ht="15.75" customHeight="1" s="85">
      <c r="A461" s="4" t="n"/>
      <c r="B461" s="4" t="n"/>
      <c r="C461" s="4" t="n"/>
    </row>
    <row r="462" ht="15.75" customHeight="1" s="85">
      <c r="A462" s="4" t="n"/>
      <c r="B462" s="4" t="n"/>
      <c r="C462" s="4" t="n"/>
    </row>
    <row r="463" ht="15.75" customHeight="1" s="85">
      <c r="A463" s="4" t="n"/>
      <c r="B463" s="4" t="n"/>
      <c r="C463" s="4" t="n"/>
    </row>
    <row r="464" ht="15.75" customHeight="1" s="85">
      <c r="A464" s="4" t="n"/>
      <c r="B464" s="4" t="n"/>
      <c r="C464" s="4" t="n"/>
    </row>
    <row r="465" ht="15.75" customHeight="1" s="85">
      <c r="A465" s="4" t="n"/>
      <c r="B465" s="4" t="n"/>
      <c r="C465" s="4" t="n"/>
    </row>
    <row r="466" ht="15.75" customHeight="1" s="85">
      <c r="A466" s="4" t="n"/>
      <c r="B466" s="4" t="n"/>
      <c r="C466" s="4" t="n"/>
    </row>
    <row r="467" ht="15.75" customHeight="1" s="85">
      <c r="A467" s="4" t="n"/>
      <c r="B467" s="4" t="n"/>
      <c r="C467" s="4" t="n"/>
    </row>
    <row r="468" ht="15.75" customHeight="1" s="85">
      <c r="A468" s="4" t="n"/>
      <c r="B468" s="4" t="n"/>
      <c r="C468" s="4" t="n"/>
    </row>
    <row r="469" ht="15.75" customHeight="1" s="85">
      <c r="A469" s="4" t="n"/>
      <c r="B469" s="4" t="n"/>
      <c r="C469" s="4" t="n"/>
    </row>
    <row r="470" ht="15.75" customHeight="1" s="85">
      <c r="A470" s="4" t="n"/>
      <c r="B470" s="4" t="n"/>
      <c r="C470" s="4" t="n"/>
    </row>
    <row r="471" ht="15.75" customHeight="1" s="85">
      <c r="A471" s="4" t="n"/>
      <c r="B471" s="4" t="n"/>
      <c r="C471" s="4" t="n"/>
    </row>
    <row r="472" ht="15.75" customHeight="1" s="85">
      <c r="A472" s="4" t="n"/>
      <c r="B472" s="4" t="n"/>
      <c r="C472" s="4" t="n"/>
    </row>
    <row r="473" ht="15.75" customHeight="1" s="85">
      <c r="A473" s="4" t="n"/>
      <c r="B473" s="4" t="n"/>
      <c r="C473" s="4" t="n"/>
    </row>
    <row r="474" ht="15.75" customHeight="1" s="85">
      <c r="A474" s="4" t="n"/>
      <c r="B474" s="4" t="n"/>
      <c r="C474" s="4" t="n"/>
    </row>
    <row r="475" ht="15.75" customHeight="1" s="85">
      <c r="A475" s="4" t="n"/>
      <c r="B475" s="4" t="n"/>
      <c r="C475" s="4" t="n"/>
    </row>
    <row r="476" ht="15.75" customHeight="1" s="85">
      <c r="A476" s="4" t="n"/>
      <c r="B476" s="4" t="n"/>
      <c r="C476" s="4" t="n"/>
    </row>
    <row r="477" ht="15.75" customHeight="1" s="85">
      <c r="A477" s="4" t="n"/>
      <c r="B477" s="4" t="n"/>
      <c r="C477" s="4" t="n"/>
    </row>
    <row r="478" ht="15.75" customHeight="1" s="85">
      <c r="A478" s="4" t="n"/>
      <c r="B478" s="4" t="n"/>
      <c r="C478" s="4" t="n"/>
    </row>
    <row r="479" ht="15.75" customHeight="1" s="85">
      <c r="A479" s="4" t="n"/>
      <c r="B479" s="4" t="n"/>
      <c r="C479" s="4" t="n"/>
    </row>
    <row r="480" ht="15.75" customHeight="1" s="85">
      <c r="A480" s="4" t="n"/>
      <c r="B480" s="4" t="n"/>
      <c r="C480" s="4" t="n"/>
    </row>
    <row r="481" ht="15.75" customHeight="1" s="85">
      <c r="A481" s="4" t="n"/>
      <c r="B481" s="4" t="n"/>
      <c r="C481" s="4" t="n"/>
    </row>
    <row r="482" ht="15.75" customHeight="1" s="85">
      <c r="A482" s="4" t="n"/>
      <c r="B482" s="4" t="n"/>
      <c r="C482" s="4" t="n"/>
    </row>
    <row r="483" ht="15.75" customHeight="1" s="85">
      <c r="A483" s="4" t="n"/>
      <c r="B483" s="4" t="n"/>
      <c r="C483" s="4" t="n"/>
    </row>
    <row r="484" ht="15.75" customHeight="1" s="85">
      <c r="A484" s="4" t="n"/>
      <c r="B484" s="4" t="n"/>
      <c r="C484" s="4" t="n"/>
    </row>
    <row r="485" ht="15.75" customHeight="1" s="85">
      <c r="A485" s="4" t="n"/>
      <c r="B485" s="4" t="n"/>
      <c r="C485" s="4" t="n"/>
    </row>
    <row r="486" ht="15.75" customHeight="1" s="85">
      <c r="A486" s="4" t="n"/>
      <c r="B486" s="4" t="n"/>
      <c r="C486" s="4" t="n"/>
    </row>
    <row r="487" ht="15.75" customHeight="1" s="85">
      <c r="A487" s="4" t="n"/>
      <c r="B487" s="4" t="n"/>
      <c r="C487" s="4" t="n"/>
    </row>
    <row r="488" ht="15.75" customHeight="1" s="85">
      <c r="A488" s="4" t="n"/>
      <c r="B488" s="4" t="n"/>
      <c r="C488" s="4" t="n"/>
    </row>
    <row r="489" ht="15.75" customHeight="1" s="85">
      <c r="A489" s="4" t="n"/>
      <c r="B489" s="4" t="n"/>
      <c r="C489" s="4" t="n"/>
    </row>
    <row r="490" ht="15.75" customHeight="1" s="85">
      <c r="A490" s="4" t="n"/>
      <c r="B490" s="4" t="n"/>
      <c r="C490" s="4" t="n"/>
    </row>
    <row r="491" ht="15.75" customHeight="1" s="85">
      <c r="A491" s="4" t="n"/>
      <c r="B491" s="4" t="n"/>
      <c r="C491" s="4" t="n"/>
    </row>
    <row r="492" ht="15.75" customHeight="1" s="85">
      <c r="A492" s="4" t="n"/>
      <c r="B492" s="4" t="n"/>
      <c r="C492" s="4" t="n"/>
    </row>
    <row r="493" ht="15.75" customHeight="1" s="85">
      <c r="A493" s="4" t="n"/>
      <c r="B493" s="4" t="n"/>
      <c r="C493" s="4" t="n"/>
    </row>
    <row r="494" ht="15.75" customHeight="1" s="85">
      <c r="A494" s="4" t="n"/>
      <c r="B494" s="4" t="n"/>
      <c r="C494" s="4" t="n"/>
    </row>
    <row r="495" ht="15.75" customHeight="1" s="85">
      <c r="A495" s="4" t="n"/>
      <c r="B495" s="4" t="n"/>
      <c r="C495" s="4" t="n"/>
    </row>
    <row r="496" ht="15.75" customHeight="1" s="85">
      <c r="A496" s="4" t="n"/>
      <c r="B496" s="4" t="n"/>
      <c r="C496" s="4" t="n"/>
    </row>
    <row r="497" ht="15.75" customHeight="1" s="85">
      <c r="A497" s="4" t="n"/>
      <c r="B497" s="4" t="n"/>
      <c r="C497" s="4" t="n"/>
    </row>
    <row r="498" ht="15.75" customHeight="1" s="85">
      <c r="A498" s="4" t="n"/>
      <c r="B498" s="4" t="n"/>
      <c r="C498" s="4" t="n"/>
    </row>
    <row r="499" ht="15.75" customHeight="1" s="85">
      <c r="A499" s="4" t="n"/>
      <c r="B499" s="4" t="n"/>
      <c r="C499" s="4" t="n"/>
    </row>
    <row r="500" ht="15.75" customHeight="1" s="85">
      <c r="A500" s="4" t="n"/>
      <c r="B500" s="4" t="n"/>
      <c r="C500" s="4" t="n"/>
    </row>
    <row r="501" ht="15.75" customHeight="1" s="85">
      <c r="A501" s="4" t="n"/>
      <c r="B501" s="4" t="n"/>
      <c r="C501" s="4" t="n"/>
    </row>
    <row r="502" ht="15.75" customHeight="1" s="85">
      <c r="A502" s="4" t="n"/>
      <c r="B502" s="4" t="n"/>
      <c r="C502" s="4" t="n"/>
    </row>
    <row r="503" ht="15.75" customHeight="1" s="85">
      <c r="A503" s="4" t="n"/>
      <c r="B503" s="4" t="n"/>
      <c r="C503" s="4" t="n"/>
    </row>
    <row r="504" ht="15.75" customHeight="1" s="85">
      <c r="A504" s="4" t="n"/>
      <c r="B504" s="4" t="n"/>
      <c r="C504" s="4" t="n"/>
    </row>
    <row r="505" ht="15.75" customHeight="1" s="85">
      <c r="A505" s="4" t="n"/>
      <c r="B505" s="4" t="n"/>
      <c r="C505" s="4" t="n"/>
    </row>
    <row r="506" ht="15.75" customHeight="1" s="85">
      <c r="A506" s="4" t="n"/>
      <c r="B506" s="4" t="n"/>
      <c r="C506" s="4" t="n"/>
    </row>
    <row r="507" ht="15.75" customHeight="1" s="85">
      <c r="A507" s="4" t="n"/>
      <c r="B507" s="4" t="n"/>
      <c r="C507" s="4" t="n"/>
    </row>
    <row r="508" ht="15.75" customHeight="1" s="85">
      <c r="A508" s="4" t="n"/>
      <c r="B508" s="4" t="n"/>
      <c r="C508" s="4" t="n"/>
    </row>
    <row r="509" ht="15.75" customHeight="1" s="85">
      <c r="A509" s="4" t="n"/>
      <c r="B509" s="4" t="n"/>
      <c r="C509" s="4" t="n"/>
    </row>
    <row r="510" ht="15.75" customHeight="1" s="85">
      <c r="A510" s="4" t="n"/>
      <c r="B510" s="4" t="n"/>
      <c r="C510" s="4" t="n"/>
    </row>
    <row r="511" ht="15.75" customHeight="1" s="85">
      <c r="A511" s="4" t="n"/>
      <c r="B511" s="4" t="n"/>
      <c r="C511" s="4" t="n"/>
    </row>
    <row r="512" ht="15.75" customHeight="1" s="85">
      <c r="A512" s="4" t="n"/>
      <c r="B512" s="4" t="n"/>
      <c r="C512" s="4" t="n"/>
    </row>
    <row r="513" ht="15.75" customHeight="1" s="85">
      <c r="A513" s="4" t="n"/>
      <c r="B513" s="4" t="n"/>
      <c r="C513" s="4" t="n"/>
    </row>
    <row r="514" ht="15.75" customHeight="1" s="85">
      <c r="A514" s="4" t="n"/>
      <c r="B514" s="4" t="n"/>
      <c r="C514" s="4" t="n"/>
    </row>
    <row r="515" ht="15.75" customHeight="1" s="85">
      <c r="A515" s="4" t="n"/>
      <c r="B515" s="4" t="n"/>
      <c r="C515" s="4" t="n"/>
    </row>
    <row r="516" ht="15.75" customHeight="1" s="85">
      <c r="A516" s="4" t="n"/>
      <c r="B516" s="4" t="n"/>
      <c r="C516" s="4" t="n"/>
    </row>
    <row r="517" ht="15.75" customHeight="1" s="85">
      <c r="A517" s="4" t="n"/>
      <c r="B517" s="4" t="n"/>
      <c r="C517" s="4" t="n"/>
    </row>
    <row r="518" ht="15.75" customHeight="1" s="85">
      <c r="A518" s="4" t="n"/>
      <c r="B518" s="4" t="n"/>
      <c r="C518" s="4" t="n"/>
    </row>
    <row r="519" ht="15.75" customHeight="1" s="85">
      <c r="A519" s="4" t="n"/>
      <c r="B519" s="4" t="n"/>
      <c r="C519" s="4" t="n"/>
    </row>
    <row r="520" ht="15.75" customHeight="1" s="85">
      <c r="A520" s="4" t="n"/>
      <c r="B520" s="4" t="n"/>
      <c r="C520" s="4" t="n"/>
    </row>
    <row r="521" ht="15.75" customHeight="1" s="85">
      <c r="A521" s="4" t="n"/>
      <c r="B521" s="4" t="n"/>
      <c r="C521" s="4" t="n"/>
    </row>
    <row r="522" ht="15.75" customHeight="1" s="85">
      <c r="A522" s="4" t="n"/>
      <c r="B522" s="4" t="n"/>
      <c r="C522" s="4" t="n"/>
    </row>
    <row r="523" ht="15.75" customHeight="1" s="85">
      <c r="A523" s="4" t="n"/>
      <c r="B523" s="4" t="n"/>
      <c r="C523" s="4" t="n"/>
    </row>
    <row r="524" ht="15.75" customHeight="1" s="85">
      <c r="A524" s="4" t="n"/>
      <c r="B524" s="4" t="n"/>
      <c r="C524" s="4" t="n"/>
    </row>
    <row r="525" ht="15.75" customHeight="1" s="85">
      <c r="A525" s="4" t="n"/>
      <c r="B525" s="4" t="n"/>
      <c r="C525" s="4" t="n"/>
    </row>
    <row r="526" ht="15.75" customHeight="1" s="85">
      <c r="A526" s="4" t="n"/>
      <c r="B526" s="4" t="n"/>
      <c r="C526" s="4" t="n"/>
    </row>
    <row r="527" ht="15.75" customHeight="1" s="85">
      <c r="A527" s="4" t="n"/>
      <c r="B527" s="4" t="n"/>
      <c r="C527" s="4" t="n"/>
    </row>
    <row r="528" ht="15.75" customHeight="1" s="85">
      <c r="A528" s="4" t="n"/>
      <c r="B528" s="4" t="n"/>
      <c r="C528" s="4" t="n"/>
    </row>
    <row r="529" ht="15.75" customHeight="1" s="85">
      <c r="A529" s="4" t="n"/>
      <c r="B529" s="4" t="n"/>
      <c r="C529" s="4" t="n"/>
    </row>
    <row r="530" ht="15.75" customHeight="1" s="85">
      <c r="A530" s="4" t="n"/>
      <c r="B530" s="4" t="n"/>
      <c r="C530" s="4" t="n"/>
    </row>
    <row r="531" ht="15.75" customHeight="1" s="85">
      <c r="A531" s="4" t="n"/>
      <c r="B531" s="4" t="n"/>
      <c r="C531" s="4" t="n"/>
    </row>
    <row r="532" ht="15.75" customHeight="1" s="85">
      <c r="A532" s="4" t="n"/>
      <c r="B532" s="4" t="n"/>
      <c r="C532" s="4" t="n"/>
    </row>
    <row r="533" ht="15.75" customHeight="1" s="85">
      <c r="A533" s="4" t="n"/>
      <c r="B533" s="4" t="n"/>
      <c r="C533" s="4" t="n"/>
    </row>
    <row r="534" ht="15.75" customHeight="1" s="85">
      <c r="A534" s="4" t="n"/>
      <c r="B534" s="4" t="n"/>
      <c r="C534" s="4" t="n"/>
    </row>
    <row r="535" ht="15.75" customHeight="1" s="85">
      <c r="A535" s="4" t="n"/>
      <c r="B535" s="4" t="n"/>
      <c r="C535" s="4" t="n"/>
    </row>
    <row r="536" ht="15.75" customHeight="1" s="85">
      <c r="A536" s="4" t="n"/>
      <c r="B536" s="4" t="n"/>
      <c r="C536" s="4" t="n"/>
    </row>
    <row r="537" ht="15.75" customHeight="1" s="85">
      <c r="A537" s="4" t="n"/>
      <c r="B537" s="4" t="n"/>
      <c r="C537" s="4" t="n"/>
    </row>
    <row r="538" ht="15.75" customHeight="1" s="85">
      <c r="A538" s="4" t="n"/>
      <c r="B538" s="4" t="n"/>
      <c r="C538" s="4" t="n"/>
    </row>
    <row r="539" ht="15.75" customHeight="1" s="85">
      <c r="A539" s="4" t="n"/>
      <c r="B539" s="4" t="n"/>
      <c r="C539" s="4" t="n"/>
    </row>
    <row r="540" ht="15.75" customHeight="1" s="85">
      <c r="A540" s="4" t="n"/>
      <c r="B540" s="4" t="n"/>
      <c r="C540" s="4" t="n"/>
    </row>
    <row r="541" ht="15.75" customHeight="1" s="85">
      <c r="A541" s="4" t="n"/>
      <c r="B541" s="4" t="n"/>
      <c r="C541" s="4" t="n"/>
    </row>
    <row r="542" ht="15.75" customHeight="1" s="85">
      <c r="A542" s="4" t="n"/>
      <c r="B542" s="4" t="n"/>
      <c r="C542" s="4" t="n"/>
    </row>
    <row r="543" ht="15.75" customHeight="1" s="85">
      <c r="A543" s="4" t="n"/>
      <c r="B543" s="4" t="n"/>
      <c r="C543" s="4" t="n"/>
    </row>
    <row r="544" ht="15.75" customHeight="1" s="85">
      <c r="A544" s="4" t="n"/>
      <c r="B544" s="4" t="n"/>
      <c r="C544" s="4" t="n"/>
    </row>
    <row r="545" ht="15.75" customHeight="1" s="85">
      <c r="A545" s="4" t="n"/>
      <c r="B545" s="4" t="n"/>
      <c r="C545" s="4" t="n"/>
    </row>
    <row r="546" ht="15.75" customHeight="1" s="85">
      <c r="A546" s="4" t="n"/>
      <c r="B546" s="4" t="n"/>
      <c r="C546" s="4" t="n"/>
    </row>
    <row r="547" ht="15.75" customHeight="1" s="85">
      <c r="A547" s="4" t="n"/>
      <c r="B547" s="4" t="n"/>
      <c r="C547" s="4" t="n"/>
    </row>
    <row r="548" ht="15.75" customHeight="1" s="85">
      <c r="A548" s="4" t="n"/>
      <c r="B548" s="4" t="n"/>
      <c r="C548" s="4" t="n"/>
    </row>
    <row r="549" ht="15.75" customHeight="1" s="85">
      <c r="A549" s="4" t="n"/>
      <c r="B549" s="4" t="n"/>
      <c r="C549" s="4" t="n"/>
    </row>
    <row r="550" ht="15.75" customHeight="1" s="85">
      <c r="A550" s="4" t="n"/>
      <c r="B550" s="4" t="n"/>
      <c r="C550" s="4" t="n"/>
    </row>
    <row r="551" ht="15.75" customHeight="1" s="85">
      <c r="A551" s="4" t="n"/>
      <c r="B551" s="4" t="n"/>
      <c r="C551" s="4" t="n"/>
    </row>
    <row r="552" ht="15.75" customHeight="1" s="85">
      <c r="A552" s="4" t="n"/>
      <c r="B552" s="4" t="n"/>
      <c r="C552" s="4" t="n"/>
    </row>
    <row r="553" ht="15.75" customHeight="1" s="85">
      <c r="A553" s="4" t="n"/>
      <c r="B553" s="4" t="n"/>
      <c r="C553" s="4" t="n"/>
    </row>
    <row r="554" ht="15.75" customHeight="1" s="85">
      <c r="A554" s="4" t="n"/>
      <c r="B554" s="4" t="n"/>
      <c r="C554" s="4" t="n"/>
    </row>
    <row r="555" ht="15.75" customHeight="1" s="85">
      <c r="A555" s="4" t="n"/>
      <c r="B555" s="4" t="n"/>
      <c r="C555" s="4" t="n"/>
    </row>
    <row r="556" ht="15.75" customHeight="1" s="85">
      <c r="A556" s="4" t="n"/>
      <c r="B556" s="4" t="n"/>
      <c r="C556" s="4" t="n"/>
    </row>
    <row r="557" ht="15.75" customHeight="1" s="85">
      <c r="A557" s="4" t="n"/>
      <c r="B557" s="4" t="n"/>
      <c r="C557" s="4" t="n"/>
    </row>
    <row r="558" ht="15.75" customHeight="1" s="85">
      <c r="A558" s="4" t="n"/>
      <c r="B558" s="4" t="n"/>
      <c r="C558" s="4" t="n"/>
    </row>
    <row r="559" ht="15.75" customHeight="1" s="85">
      <c r="A559" s="4" t="n"/>
      <c r="B559" s="4" t="n"/>
      <c r="C559" s="4" t="n"/>
    </row>
    <row r="560" ht="15.75" customHeight="1" s="85">
      <c r="A560" s="4" t="n"/>
      <c r="B560" s="4" t="n"/>
      <c r="C560" s="4" t="n"/>
    </row>
    <row r="561" ht="15.75" customHeight="1" s="85">
      <c r="A561" s="4" t="n"/>
      <c r="B561" s="4" t="n"/>
      <c r="C561" s="4" t="n"/>
    </row>
    <row r="562" ht="15.75" customHeight="1" s="85">
      <c r="A562" s="4" t="n"/>
      <c r="B562" s="4" t="n"/>
      <c r="C562" s="4" t="n"/>
    </row>
    <row r="563" ht="15.75" customHeight="1" s="85">
      <c r="A563" s="4" t="n"/>
      <c r="B563" s="4" t="n"/>
      <c r="C563" s="4" t="n"/>
    </row>
    <row r="564" ht="15.75" customHeight="1" s="85">
      <c r="A564" s="4" t="n"/>
      <c r="B564" s="4" t="n"/>
      <c r="C564" s="4" t="n"/>
    </row>
    <row r="565" ht="15.75" customHeight="1" s="85">
      <c r="A565" s="4" t="n"/>
      <c r="B565" s="4" t="n"/>
      <c r="C565" s="4" t="n"/>
    </row>
    <row r="566" ht="15.75" customHeight="1" s="85">
      <c r="A566" s="4" t="n"/>
      <c r="B566" s="4" t="n"/>
      <c r="C566" s="4" t="n"/>
    </row>
    <row r="567" ht="15.75" customHeight="1" s="85">
      <c r="A567" s="4" t="n"/>
      <c r="B567" s="4" t="n"/>
      <c r="C567" s="4" t="n"/>
    </row>
    <row r="568" ht="15.75" customHeight="1" s="85">
      <c r="A568" s="4" t="n"/>
      <c r="B568" s="4" t="n"/>
      <c r="C568" s="4" t="n"/>
    </row>
    <row r="569" ht="15.75" customHeight="1" s="85">
      <c r="A569" s="4" t="n"/>
      <c r="B569" s="4" t="n"/>
      <c r="C569" s="4" t="n"/>
    </row>
    <row r="570" ht="15.75" customHeight="1" s="85">
      <c r="A570" s="4" t="n"/>
      <c r="B570" s="4" t="n"/>
      <c r="C570" s="4" t="n"/>
    </row>
    <row r="571" ht="15.75" customHeight="1" s="85">
      <c r="A571" s="4" t="n"/>
      <c r="B571" s="4" t="n"/>
      <c r="C571" s="4" t="n"/>
    </row>
    <row r="572" ht="15.75" customHeight="1" s="85">
      <c r="A572" s="4" t="n"/>
      <c r="B572" s="4" t="n"/>
      <c r="C572" s="4" t="n"/>
    </row>
    <row r="573" ht="15.75" customHeight="1" s="85">
      <c r="A573" s="4" t="n"/>
      <c r="B573" s="4" t="n"/>
      <c r="C573" s="4" t="n"/>
    </row>
    <row r="574" ht="15.75" customHeight="1" s="85">
      <c r="A574" s="4" t="n"/>
      <c r="B574" s="4" t="n"/>
      <c r="C574" s="4" t="n"/>
    </row>
    <row r="575" ht="15.75" customHeight="1" s="85">
      <c r="A575" s="4" t="n"/>
      <c r="B575" s="4" t="n"/>
      <c r="C575" s="4" t="n"/>
    </row>
    <row r="576" ht="15.75" customHeight="1" s="85">
      <c r="A576" s="4" t="n"/>
      <c r="B576" s="4" t="n"/>
      <c r="C576" s="4" t="n"/>
    </row>
    <row r="577" ht="15.75" customHeight="1" s="85">
      <c r="A577" s="4" t="n"/>
      <c r="B577" s="4" t="n"/>
      <c r="C577" s="4" t="n"/>
    </row>
    <row r="578" ht="15.75" customHeight="1" s="85">
      <c r="A578" s="4" t="n"/>
      <c r="B578" s="4" t="n"/>
      <c r="C578" s="4" t="n"/>
    </row>
    <row r="579" ht="15.75" customHeight="1" s="85">
      <c r="A579" s="4" t="n"/>
      <c r="B579" s="4" t="n"/>
      <c r="C579" s="4" t="n"/>
    </row>
    <row r="580" ht="15.75" customHeight="1" s="85">
      <c r="A580" s="4" t="n"/>
      <c r="B580" s="4" t="n"/>
      <c r="C580" s="4" t="n"/>
    </row>
    <row r="581" ht="15.75" customHeight="1" s="85">
      <c r="A581" s="4" t="n"/>
      <c r="B581" s="4" t="n"/>
      <c r="C581" s="4" t="n"/>
    </row>
    <row r="582" ht="15.75" customHeight="1" s="85">
      <c r="A582" s="4" t="n"/>
      <c r="B582" s="4" t="n"/>
      <c r="C582" s="4" t="n"/>
    </row>
    <row r="583" ht="15.75" customHeight="1" s="85">
      <c r="A583" s="4" t="n"/>
      <c r="B583" s="4" t="n"/>
      <c r="C583" s="4" t="n"/>
    </row>
    <row r="584" ht="15.75" customHeight="1" s="85">
      <c r="A584" s="4" t="n"/>
      <c r="B584" s="4" t="n"/>
      <c r="C584" s="4" t="n"/>
    </row>
    <row r="585" ht="15.75" customHeight="1" s="85">
      <c r="A585" s="4" t="n"/>
      <c r="B585" s="4" t="n"/>
      <c r="C585" s="4" t="n"/>
    </row>
    <row r="586" ht="15.75" customHeight="1" s="85">
      <c r="A586" s="4" t="n"/>
      <c r="B586" s="4" t="n"/>
      <c r="C586" s="4" t="n"/>
    </row>
    <row r="587" ht="15.75" customHeight="1" s="85">
      <c r="A587" s="4" t="n"/>
      <c r="B587" s="4" t="n"/>
      <c r="C587" s="4" t="n"/>
    </row>
    <row r="588" ht="15.75" customHeight="1" s="85">
      <c r="A588" s="4" t="n"/>
      <c r="B588" s="4" t="n"/>
      <c r="C588" s="4" t="n"/>
    </row>
    <row r="589" ht="15.75" customHeight="1" s="85">
      <c r="A589" s="4" t="n"/>
      <c r="B589" s="4" t="n"/>
      <c r="C589" s="4" t="n"/>
    </row>
    <row r="590" ht="15.75" customHeight="1" s="85">
      <c r="A590" s="4" t="n"/>
      <c r="B590" s="4" t="n"/>
      <c r="C590" s="4" t="n"/>
    </row>
    <row r="591" ht="15.75" customHeight="1" s="85">
      <c r="A591" s="4" t="n"/>
      <c r="B591" s="4" t="n"/>
      <c r="C591" s="4" t="n"/>
    </row>
    <row r="592" ht="15.75" customHeight="1" s="85">
      <c r="A592" s="4" t="n"/>
      <c r="B592" s="4" t="n"/>
      <c r="C592" s="4" t="n"/>
    </row>
    <row r="593" ht="15.75" customHeight="1" s="85">
      <c r="A593" s="4" t="n"/>
      <c r="B593" s="4" t="n"/>
      <c r="C593" s="4" t="n"/>
    </row>
    <row r="594" ht="15.75" customHeight="1" s="85">
      <c r="A594" s="4" t="n"/>
      <c r="B594" s="4" t="n"/>
      <c r="C594" s="4" t="n"/>
    </row>
    <row r="595" ht="15.75" customHeight="1" s="85">
      <c r="A595" s="4" t="n"/>
      <c r="B595" s="4" t="n"/>
      <c r="C595" s="4" t="n"/>
    </row>
    <row r="596" ht="15.75" customHeight="1" s="85">
      <c r="A596" s="4" t="n"/>
      <c r="B596" s="4" t="n"/>
      <c r="C596" s="4" t="n"/>
    </row>
    <row r="597" ht="15.75" customHeight="1" s="85">
      <c r="A597" s="4" t="n"/>
      <c r="B597" s="4" t="n"/>
      <c r="C597" s="4" t="n"/>
    </row>
    <row r="598" ht="15.75" customHeight="1" s="85">
      <c r="A598" s="4" t="n"/>
      <c r="B598" s="4" t="n"/>
      <c r="C598" s="4" t="n"/>
    </row>
    <row r="599" ht="15.75" customHeight="1" s="85">
      <c r="A599" s="4" t="n"/>
      <c r="B599" s="4" t="n"/>
      <c r="C599" s="4" t="n"/>
    </row>
    <row r="600" ht="15.75" customHeight="1" s="85">
      <c r="A600" s="4" t="n"/>
      <c r="B600" s="4" t="n"/>
      <c r="C600" s="4" t="n"/>
    </row>
    <row r="601" ht="15.75" customHeight="1" s="85">
      <c r="A601" s="4" t="n"/>
      <c r="B601" s="4" t="n"/>
      <c r="C601" s="4" t="n"/>
    </row>
    <row r="602" ht="15.75" customHeight="1" s="85">
      <c r="A602" s="4" t="n"/>
      <c r="B602" s="4" t="n"/>
      <c r="C602" s="4" t="n"/>
    </row>
    <row r="603" ht="15.75" customHeight="1" s="85">
      <c r="A603" s="4" t="n"/>
      <c r="B603" s="4" t="n"/>
      <c r="C603" s="4" t="n"/>
    </row>
    <row r="604" ht="15.75" customHeight="1" s="85">
      <c r="A604" s="4" t="n"/>
      <c r="B604" s="4" t="n"/>
      <c r="C604" s="4" t="n"/>
    </row>
    <row r="605" ht="15.75" customHeight="1" s="85">
      <c r="A605" s="4" t="n"/>
      <c r="B605" s="4" t="n"/>
      <c r="C605" s="4" t="n"/>
    </row>
    <row r="606" ht="15.75" customHeight="1" s="85">
      <c r="A606" s="4" t="n"/>
      <c r="B606" s="4" t="n"/>
      <c r="C606" s="4" t="n"/>
    </row>
    <row r="607" ht="15.75" customHeight="1" s="85">
      <c r="A607" s="4" t="n"/>
      <c r="B607" s="4" t="n"/>
      <c r="C607" s="4" t="n"/>
    </row>
    <row r="608" ht="15.75" customHeight="1" s="85">
      <c r="A608" s="4" t="n"/>
      <c r="B608" s="4" t="n"/>
      <c r="C608" s="4" t="n"/>
    </row>
    <row r="609" ht="15.75" customHeight="1" s="85">
      <c r="A609" s="4" t="n"/>
      <c r="B609" s="4" t="n"/>
      <c r="C609" s="4" t="n"/>
    </row>
    <row r="610" ht="15.75" customHeight="1" s="85">
      <c r="A610" s="4" t="n"/>
      <c r="B610" s="4" t="n"/>
      <c r="C610" s="4" t="n"/>
    </row>
    <row r="611" ht="15.75" customHeight="1" s="85">
      <c r="A611" s="4" t="n"/>
      <c r="B611" s="4" t="n"/>
      <c r="C611" s="4" t="n"/>
    </row>
    <row r="612" ht="15.75" customHeight="1" s="85">
      <c r="A612" s="4" t="n"/>
      <c r="B612" s="4" t="n"/>
      <c r="C612" s="4" t="n"/>
    </row>
    <row r="613" ht="15.75" customHeight="1" s="85">
      <c r="A613" s="4" t="n"/>
      <c r="B613" s="4" t="n"/>
      <c r="C613" s="4" t="n"/>
    </row>
    <row r="614" ht="15.75" customHeight="1" s="85">
      <c r="A614" s="4" t="n"/>
      <c r="B614" s="4" t="n"/>
      <c r="C614" s="4" t="n"/>
    </row>
    <row r="615" ht="15.75" customHeight="1" s="85">
      <c r="A615" s="4" t="n"/>
      <c r="B615" s="4" t="n"/>
      <c r="C615" s="4" t="n"/>
    </row>
    <row r="616" ht="15.75" customHeight="1" s="85">
      <c r="A616" s="4" t="n"/>
      <c r="B616" s="4" t="n"/>
      <c r="C616" s="4" t="n"/>
    </row>
    <row r="617" ht="15.75" customHeight="1" s="85">
      <c r="A617" s="4" t="n"/>
      <c r="B617" s="4" t="n"/>
      <c r="C617" s="4" t="n"/>
    </row>
    <row r="618" ht="15.75" customHeight="1" s="85">
      <c r="A618" s="4" t="n"/>
      <c r="B618" s="4" t="n"/>
      <c r="C618" s="4" t="n"/>
    </row>
    <row r="619" ht="15.75" customHeight="1" s="85">
      <c r="A619" s="4" t="n"/>
      <c r="B619" s="4" t="n"/>
      <c r="C619" s="4" t="n"/>
    </row>
    <row r="620" ht="15.75" customHeight="1" s="85">
      <c r="A620" s="4" t="n"/>
      <c r="B620" s="4" t="n"/>
      <c r="C620" s="4" t="n"/>
    </row>
    <row r="621" ht="15.75" customHeight="1" s="85">
      <c r="A621" s="4" t="n"/>
      <c r="B621" s="4" t="n"/>
      <c r="C621" s="4" t="n"/>
    </row>
    <row r="622" ht="15.75" customHeight="1" s="85">
      <c r="A622" s="4" t="n"/>
      <c r="B622" s="4" t="n"/>
      <c r="C622" s="4" t="n"/>
    </row>
    <row r="623" ht="15.75" customHeight="1" s="85">
      <c r="A623" s="4" t="n"/>
      <c r="B623" s="4" t="n"/>
      <c r="C623" s="4" t="n"/>
    </row>
    <row r="624" ht="15.75" customHeight="1" s="85">
      <c r="A624" s="4" t="n"/>
      <c r="B624" s="4" t="n"/>
      <c r="C624" s="4" t="n"/>
    </row>
    <row r="625" ht="15.75" customHeight="1" s="85">
      <c r="A625" s="4" t="n"/>
      <c r="B625" s="4" t="n"/>
      <c r="C625" s="4" t="n"/>
    </row>
    <row r="626" ht="15.75" customHeight="1" s="85">
      <c r="A626" s="4" t="n"/>
      <c r="B626" s="4" t="n"/>
      <c r="C626" s="4" t="n"/>
    </row>
    <row r="627" ht="15.75" customHeight="1" s="85">
      <c r="A627" s="4" t="n"/>
      <c r="B627" s="4" t="n"/>
      <c r="C627" s="4" t="n"/>
    </row>
    <row r="628" ht="15.75" customHeight="1" s="85">
      <c r="A628" s="4" t="n"/>
      <c r="B628" s="4" t="n"/>
      <c r="C628" s="4" t="n"/>
    </row>
    <row r="629" ht="15.75" customHeight="1" s="85">
      <c r="A629" s="4" t="n"/>
      <c r="B629" s="4" t="n"/>
      <c r="C629" s="4" t="n"/>
    </row>
    <row r="630" ht="15.75" customHeight="1" s="85">
      <c r="A630" s="4" t="n"/>
      <c r="B630" s="4" t="n"/>
      <c r="C630" s="4" t="n"/>
    </row>
    <row r="631" ht="15.75" customHeight="1" s="85">
      <c r="A631" s="4" t="n"/>
      <c r="B631" s="4" t="n"/>
      <c r="C631" s="4" t="n"/>
    </row>
    <row r="632" ht="15.75" customHeight="1" s="85">
      <c r="A632" s="4" t="n"/>
      <c r="B632" s="4" t="n"/>
      <c r="C632" s="4" t="n"/>
    </row>
    <row r="633" ht="15.75" customHeight="1" s="85">
      <c r="A633" s="4" t="n"/>
      <c r="B633" s="4" t="n"/>
      <c r="C633" s="4" t="n"/>
    </row>
    <row r="634" ht="15.75" customHeight="1" s="85">
      <c r="A634" s="4" t="n"/>
      <c r="B634" s="4" t="n"/>
      <c r="C634" s="4" t="n"/>
    </row>
    <row r="635" ht="15.75" customHeight="1" s="85">
      <c r="A635" s="4" t="n"/>
      <c r="B635" s="4" t="n"/>
      <c r="C635" s="4" t="n"/>
    </row>
    <row r="636" ht="15.75" customHeight="1" s="85">
      <c r="A636" s="4" t="n"/>
      <c r="B636" s="4" t="n"/>
      <c r="C636" s="4" t="n"/>
    </row>
    <row r="637" ht="15.75" customHeight="1" s="85">
      <c r="A637" s="4" t="n"/>
      <c r="B637" s="4" t="n"/>
      <c r="C637" s="4" t="n"/>
    </row>
    <row r="638" ht="15.75" customHeight="1" s="85">
      <c r="A638" s="4" t="n"/>
      <c r="B638" s="4" t="n"/>
      <c r="C638" s="4" t="n"/>
    </row>
    <row r="639" ht="15.75" customHeight="1" s="85">
      <c r="A639" s="4" t="n"/>
      <c r="B639" s="4" t="n"/>
      <c r="C639" s="4" t="n"/>
    </row>
    <row r="640" ht="15.75" customHeight="1" s="85">
      <c r="A640" s="4" t="n"/>
      <c r="B640" s="4" t="n"/>
      <c r="C640" s="4" t="n"/>
    </row>
    <row r="641" ht="15.75" customHeight="1" s="85">
      <c r="A641" s="4" t="n"/>
      <c r="B641" s="4" t="n"/>
      <c r="C641" s="4" t="n"/>
    </row>
    <row r="642" ht="15.75" customHeight="1" s="85">
      <c r="A642" s="4" t="n"/>
      <c r="B642" s="4" t="n"/>
      <c r="C642" s="4" t="n"/>
    </row>
    <row r="643" ht="15.75" customHeight="1" s="85">
      <c r="A643" s="4" t="n"/>
      <c r="B643" s="4" t="n"/>
      <c r="C643" s="4" t="n"/>
    </row>
    <row r="644" ht="15.75" customHeight="1" s="85">
      <c r="A644" s="4" t="n"/>
      <c r="B644" s="4" t="n"/>
      <c r="C644" s="4" t="n"/>
    </row>
    <row r="645" ht="15.75" customHeight="1" s="85">
      <c r="A645" s="4" t="n"/>
      <c r="B645" s="4" t="n"/>
      <c r="C645" s="4" t="n"/>
    </row>
    <row r="646" ht="15.75" customHeight="1" s="85">
      <c r="A646" s="4" t="n"/>
      <c r="B646" s="4" t="n"/>
      <c r="C646" s="4" t="n"/>
    </row>
    <row r="647" ht="15.75" customHeight="1" s="85">
      <c r="A647" s="4" t="n"/>
      <c r="B647" s="4" t="n"/>
      <c r="C647" s="4" t="n"/>
    </row>
    <row r="648" ht="15.75" customHeight="1" s="85">
      <c r="A648" s="4" t="n"/>
      <c r="B648" s="4" t="n"/>
      <c r="C648" s="4" t="n"/>
    </row>
    <row r="649" ht="15.75" customHeight="1" s="85">
      <c r="A649" s="4" t="n"/>
      <c r="B649" s="4" t="n"/>
      <c r="C649" s="4" t="n"/>
    </row>
    <row r="650" ht="15.75" customHeight="1" s="85">
      <c r="A650" s="4" t="n"/>
      <c r="B650" s="4" t="n"/>
      <c r="C650" s="4" t="n"/>
    </row>
    <row r="651" ht="15.75" customHeight="1" s="85">
      <c r="A651" s="4" t="n"/>
      <c r="B651" s="4" t="n"/>
      <c r="C651" s="4" t="n"/>
    </row>
    <row r="652" ht="15.75" customHeight="1" s="85">
      <c r="A652" s="4" t="n"/>
      <c r="B652" s="4" t="n"/>
      <c r="C652" s="4" t="n"/>
    </row>
    <row r="653" ht="15.75" customHeight="1" s="85">
      <c r="A653" s="4" t="n"/>
      <c r="B653" s="4" t="n"/>
      <c r="C653" s="4" t="n"/>
    </row>
    <row r="654" ht="15.75" customHeight="1" s="85">
      <c r="A654" s="4" t="n"/>
      <c r="B654" s="4" t="n"/>
      <c r="C654" s="4" t="n"/>
    </row>
    <row r="655" ht="15.75" customHeight="1" s="85">
      <c r="A655" s="4" t="n"/>
      <c r="B655" s="4" t="n"/>
      <c r="C655" s="4" t="n"/>
    </row>
    <row r="656" ht="15.75" customHeight="1" s="85">
      <c r="A656" s="4" t="n"/>
      <c r="B656" s="4" t="n"/>
      <c r="C656" s="4" t="n"/>
    </row>
    <row r="657" ht="15.75" customHeight="1" s="85">
      <c r="A657" s="4" t="n"/>
      <c r="B657" s="4" t="n"/>
      <c r="C657" s="4" t="n"/>
    </row>
    <row r="658" ht="15.75" customHeight="1" s="85">
      <c r="A658" s="4" t="n"/>
      <c r="B658" s="4" t="n"/>
      <c r="C658" s="4" t="n"/>
    </row>
    <row r="659" ht="15.75" customHeight="1" s="85">
      <c r="A659" s="4" t="n"/>
      <c r="B659" s="4" t="n"/>
      <c r="C659" s="4" t="n"/>
    </row>
    <row r="660" ht="15.75" customHeight="1" s="85">
      <c r="A660" s="4" t="n"/>
      <c r="B660" s="4" t="n"/>
      <c r="C660" s="4" t="n"/>
    </row>
    <row r="661" ht="15.75" customHeight="1" s="85">
      <c r="A661" s="4" t="n"/>
      <c r="B661" s="4" t="n"/>
      <c r="C661" s="4" t="n"/>
    </row>
    <row r="662" ht="15.75" customHeight="1" s="85">
      <c r="A662" s="4" t="n"/>
      <c r="B662" s="4" t="n"/>
      <c r="C662" s="4" t="n"/>
    </row>
    <row r="663" ht="15.75" customHeight="1" s="85">
      <c r="A663" s="4" t="n"/>
      <c r="B663" s="4" t="n"/>
      <c r="C663" s="4" t="n"/>
    </row>
    <row r="664" ht="15.75" customHeight="1" s="85">
      <c r="A664" s="4" t="n"/>
      <c r="B664" s="4" t="n"/>
      <c r="C664" s="4" t="n"/>
    </row>
    <row r="665" ht="15.75" customHeight="1" s="85">
      <c r="A665" s="4" t="n"/>
      <c r="B665" s="4" t="n"/>
      <c r="C665" s="4" t="n"/>
    </row>
    <row r="666" ht="15.75" customHeight="1" s="85">
      <c r="A666" s="4" t="n"/>
      <c r="B666" s="4" t="n"/>
      <c r="C666" s="4" t="n"/>
    </row>
    <row r="667" ht="15.75" customHeight="1" s="85">
      <c r="A667" s="4" t="n"/>
      <c r="B667" s="4" t="n"/>
      <c r="C667" s="4" t="n"/>
    </row>
    <row r="668" ht="15.75" customHeight="1" s="85">
      <c r="A668" s="4" t="n"/>
      <c r="B668" s="4" t="n"/>
      <c r="C668" s="4" t="n"/>
    </row>
    <row r="669" ht="15.75" customHeight="1" s="85">
      <c r="A669" s="4" t="n"/>
      <c r="B669" s="4" t="n"/>
      <c r="C669" s="4" t="n"/>
    </row>
    <row r="670" ht="15.75" customHeight="1" s="85">
      <c r="A670" s="4" t="n"/>
      <c r="B670" s="4" t="n"/>
      <c r="C670" s="4" t="n"/>
    </row>
    <row r="671" ht="15.75" customHeight="1" s="85">
      <c r="A671" s="4" t="n"/>
      <c r="B671" s="4" t="n"/>
      <c r="C671" s="4" t="n"/>
    </row>
    <row r="672" ht="15.75" customHeight="1" s="85">
      <c r="A672" s="4" t="n"/>
      <c r="B672" s="4" t="n"/>
      <c r="C672" s="4" t="n"/>
    </row>
    <row r="673" ht="15.75" customHeight="1" s="85">
      <c r="A673" s="4" t="n"/>
      <c r="B673" s="4" t="n"/>
      <c r="C673" s="4" t="n"/>
    </row>
    <row r="674" ht="15.75" customHeight="1" s="85">
      <c r="A674" s="4" t="n"/>
      <c r="B674" s="4" t="n"/>
      <c r="C674" s="4" t="n"/>
    </row>
    <row r="675" ht="15.75" customHeight="1" s="85">
      <c r="A675" s="4" t="n"/>
      <c r="B675" s="4" t="n"/>
      <c r="C675" s="4" t="n"/>
    </row>
    <row r="676" ht="15.75" customHeight="1" s="85">
      <c r="A676" s="4" t="n"/>
      <c r="B676" s="4" t="n"/>
      <c r="C676" s="4" t="n"/>
    </row>
    <row r="677" ht="15.75" customHeight="1" s="85">
      <c r="A677" s="4" t="n"/>
      <c r="B677" s="4" t="n"/>
      <c r="C677" s="4" t="n"/>
    </row>
    <row r="678" ht="15.75" customHeight="1" s="85">
      <c r="A678" s="4" t="n"/>
      <c r="B678" s="4" t="n"/>
      <c r="C678" s="4" t="n"/>
    </row>
    <row r="679" ht="15.75" customHeight="1" s="85">
      <c r="A679" s="4" t="n"/>
      <c r="B679" s="4" t="n"/>
      <c r="C679" s="4" t="n"/>
    </row>
    <row r="680" ht="15.75" customHeight="1" s="85">
      <c r="A680" s="4" t="n"/>
      <c r="B680" s="4" t="n"/>
      <c r="C680" s="4" t="n"/>
    </row>
    <row r="681" ht="15.75" customHeight="1" s="85">
      <c r="A681" s="4" t="n"/>
      <c r="B681" s="4" t="n"/>
      <c r="C681" s="4" t="n"/>
    </row>
    <row r="682" ht="15.75" customHeight="1" s="85">
      <c r="A682" s="4" t="n"/>
      <c r="B682" s="4" t="n"/>
      <c r="C682" s="4" t="n"/>
    </row>
    <row r="683" ht="15.75" customHeight="1" s="85">
      <c r="A683" s="4" t="n"/>
      <c r="B683" s="4" t="n"/>
      <c r="C683" s="4" t="n"/>
    </row>
    <row r="684" ht="15.75" customHeight="1" s="85">
      <c r="A684" s="4" t="n"/>
      <c r="B684" s="4" t="n"/>
      <c r="C684" s="4" t="n"/>
    </row>
    <row r="685" ht="15.75" customHeight="1" s="85">
      <c r="A685" s="4" t="n"/>
      <c r="B685" s="4" t="n"/>
      <c r="C685" s="4" t="n"/>
    </row>
    <row r="686" ht="15.75" customHeight="1" s="85">
      <c r="A686" s="4" t="n"/>
      <c r="B686" s="4" t="n"/>
      <c r="C686" s="4" t="n"/>
    </row>
    <row r="687" ht="15.75" customHeight="1" s="85">
      <c r="A687" s="4" t="n"/>
      <c r="B687" s="4" t="n"/>
      <c r="C687" s="4" t="n"/>
    </row>
    <row r="688" ht="15.75" customHeight="1" s="85">
      <c r="A688" s="4" t="n"/>
      <c r="B688" s="4" t="n"/>
      <c r="C688" s="4" t="n"/>
    </row>
    <row r="689" ht="15.75" customHeight="1" s="85">
      <c r="A689" s="4" t="n"/>
      <c r="B689" s="4" t="n"/>
      <c r="C689" s="4" t="n"/>
    </row>
    <row r="690" ht="15.75" customHeight="1" s="85">
      <c r="A690" s="4" t="n"/>
      <c r="B690" s="4" t="n"/>
      <c r="C690" s="4" t="n"/>
    </row>
    <row r="691" ht="15.75" customHeight="1" s="85">
      <c r="A691" s="4" t="n"/>
      <c r="B691" s="4" t="n"/>
      <c r="C691" s="4" t="n"/>
    </row>
    <row r="692" ht="15.75" customHeight="1" s="85">
      <c r="A692" s="4" t="n"/>
      <c r="B692" s="4" t="n"/>
      <c r="C692" s="4" t="n"/>
    </row>
    <row r="693" ht="15.75" customHeight="1" s="85">
      <c r="A693" s="4" t="n"/>
      <c r="B693" s="4" t="n"/>
      <c r="C693" s="4" t="n"/>
    </row>
    <row r="694" ht="15.75" customHeight="1" s="85">
      <c r="A694" s="4" t="n"/>
      <c r="B694" s="4" t="n"/>
      <c r="C694" s="4" t="n"/>
    </row>
    <row r="695" ht="15.75" customHeight="1" s="85">
      <c r="A695" s="4" t="n"/>
      <c r="B695" s="4" t="n"/>
      <c r="C695" s="4" t="n"/>
    </row>
    <row r="696" ht="15.75" customHeight="1" s="85">
      <c r="A696" s="4" t="n"/>
      <c r="B696" s="4" t="n"/>
      <c r="C696" s="4" t="n"/>
    </row>
    <row r="697" ht="15.75" customHeight="1" s="85">
      <c r="A697" s="4" t="n"/>
      <c r="B697" s="4" t="n"/>
      <c r="C697" s="4" t="n"/>
    </row>
    <row r="698" ht="15.75" customHeight="1" s="85">
      <c r="A698" s="4" t="n"/>
      <c r="B698" s="4" t="n"/>
      <c r="C698" s="4" t="n"/>
    </row>
    <row r="699" ht="15.75" customHeight="1" s="85">
      <c r="A699" s="4" t="n"/>
      <c r="B699" s="4" t="n"/>
      <c r="C699" s="4" t="n"/>
    </row>
    <row r="700" ht="15.75" customHeight="1" s="85">
      <c r="A700" s="4" t="n"/>
      <c r="B700" s="4" t="n"/>
      <c r="C700" s="4" t="n"/>
    </row>
    <row r="701" ht="15.75" customHeight="1" s="85">
      <c r="A701" s="4" t="n"/>
      <c r="B701" s="4" t="n"/>
      <c r="C701" s="4" t="n"/>
    </row>
    <row r="702" ht="15.75" customHeight="1" s="85">
      <c r="A702" s="4" t="n"/>
      <c r="B702" s="4" t="n"/>
      <c r="C702" s="4" t="n"/>
    </row>
    <row r="703" ht="15.75" customHeight="1" s="85">
      <c r="A703" s="4" t="n"/>
      <c r="B703" s="4" t="n"/>
      <c r="C703" s="4" t="n"/>
    </row>
    <row r="704" ht="15.75" customHeight="1" s="85">
      <c r="A704" s="4" t="n"/>
      <c r="B704" s="4" t="n"/>
      <c r="C704" s="4" t="n"/>
    </row>
    <row r="705" ht="15.75" customHeight="1" s="85">
      <c r="A705" s="4" t="n"/>
      <c r="B705" s="4" t="n"/>
      <c r="C705" s="4" t="n"/>
    </row>
    <row r="706" ht="15.75" customHeight="1" s="85">
      <c r="A706" s="4" t="n"/>
      <c r="B706" s="4" t="n"/>
      <c r="C706" s="4" t="n"/>
    </row>
    <row r="707" ht="15.75" customHeight="1" s="85">
      <c r="A707" s="4" t="n"/>
      <c r="B707" s="4" t="n"/>
      <c r="C707" s="4" t="n"/>
    </row>
    <row r="708" ht="15.75" customHeight="1" s="85">
      <c r="A708" s="4" t="n"/>
      <c r="B708" s="4" t="n"/>
      <c r="C708" s="4" t="n"/>
    </row>
    <row r="709" ht="15.75" customHeight="1" s="85">
      <c r="A709" s="4" t="n"/>
      <c r="B709" s="4" t="n"/>
      <c r="C709" s="4" t="n"/>
    </row>
    <row r="710" ht="15.75" customHeight="1" s="85">
      <c r="A710" s="4" t="n"/>
      <c r="B710" s="4" t="n"/>
      <c r="C710" s="4" t="n"/>
    </row>
    <row r="711" ht="15.75" customHeight="1" s="85">
      <c r="A711" s="4" t="n"/>
      <c r="B711" s="4" t="n"/>
      <c r="C711" s="4" t="n"/>
    </row>
    <row r="712" ht="15.75" customHeight="1" s="85">
      <c r="A712" s="4" t="n"/>
      <c r="B712" s="4" t="n"/>
      <c r="C712" s="4" t="n"/>
    </row>
    <row r="713" ht="15.75" customHeight="1" s="85">
      <c r="A713" s="4" t="n"/>
      <c r="B713" s="4" t="n"/>
      <c r="C713" s="4" t="n"/>
    </row>
    <row r="714" ht="15.75" customHeight="1" s="85">
      <c r="A714" s="4" t="n"/>
      <c r="B714" s="4" t="n"/>
      <c r="C714" s="4" t="n"/>
    </row>
    <row r="715" ht="15.75" customHeight="1" s="85">
      <c r="A715" s="4" t="n"/>
      <c r="B715" s="4" t="n"/>
      <c r="C715" s="4" t="n"/>
    </row>
    <row r="716" ht="15.75" customHeight="1" s="85">
      <c r="A716" s="4" t="n"/>
      <c r="B716" s="4" t="n"/>
      <c r="C716" s="4" t="n"/>
    </row>
    <row r="717" ht="15.75" customHeight="1" s="85">
      <c r="A717" s="4" t="n"/>
      <c r="B717" s="4" t="n"/>
      <c r="C717" s="4" t="n"/>
    </row>
    <row r="718" ht="15.75" customHeight="1" s="85">
      <c r="A718" s="4" t="n"/>
      <c r="B718" s="4" t="n"/>
      <c r="C718" s="4" t="n"/>
    </row>
    <row r="719" ht="15.75" customHeight="1" s="85">
      <c r="A719" s="4" t="n"/>
      <c r="B719" s="4" t="n"/>
      <c r="C719" s="4" t="n"/>
    </row>
    <row r="720" ht="15.75" customHeight="1" s="85">
      <c r="A720" s="4" t="n"/>
      <c r="B720" s="4" t="n"/>
      <c r="C720" s="4" t="n"/>
    </row>
    <row r="721" ht="15.75" customHeight="1" s="85">
      <c r="A721" s="4" t="n"/>
      <c r="B721" s="4" t="n"/>
      <c r="C721" s="4" t="n"/>
    </row>
    <row r="722" ht="15.75" customHeight="1" s="85">
      <c r="A722" s="4" t="n"/>
      <c r="B722" s="4" t="n"/>
      <c r="C722" s="4" t="n"/>
    </row>
    <row r="723" ht="15.75" customHeight="1" s="85">
      <c r="A723" s="4" t="n"/>
      <c r="B723" s="4" t="n"/>
      <c r="C723" s="4" t="n"/>
    </row>
    <row r="724" ht="15.75" customHeight="1" s="85">
      <c r="A724" s="4" t="n"/>
      <c r="B724" s="4" t="n"/>
      <c r="C724" s="4" t="n"/>
    </row>
    <row r="725" ht="15.75" customHeight="1" s="85">
      <c r="A725" s="4" t="n"/>
      <c r="B725" s="4" t="n"/>
      <c r="C725" s="4" t="n"/>
    </row>
    <row r="726" ht="15.75" customHeight="1" s="85">
      <c r="A726" s="4" t="n"/>
      <c r="B726" s="4" t="n"/>
      <c r="C726" s="4" t="n"/>
    </row>
    <row r="727" ht="15.75" customHeight="1" s="85">
      <c r="A727" s="4" t="n"/>
      <c r="B727" s="4" t="n"/>
      <c r="C727" s="4" t="n"/>
    </row>
    <row r="728" ht="15.75" customHeight="1" s="85">
      <c r="A728" s="4" t="n"/>
      <c r="B728" s="4" t="n"/>
      <c r="C728" s="4" t="n"/>
    </row>
    <row r="729" ht="15.75" customHeight="1" s="85">
      <c r="A729" s="4" t="n"/>
      <c r="B729" s="4" t="n"/>
      <c r="C729" s="4" t="n"/>
    </row>
    <row r="730" ht="15.75" customHeight="1" s="85">
      <c r="A730" s="4" t="n"/>
      <c r="B730" s="4" t="n"/>
      <c r="C730" s="4" t="n"/>
    </row>
    <row r="731" ht="15.75" customHeight="1" s="85">
      <c r="A731" s="4" t="n"/>
      <c r="B731" s="4" t="n"/>
      <c r="C731" s="4" t="n"/>
    </row>
    <row r="732" ht="15.75" customHeight="1" s="85">
      <c r="A732" s="4" t="n"/>
      <c r="B732" s="4" t="n"/>
      <c r="C732" s="4" t="n"/>
    </row>
    <row r="733" ht="15.75" customHeight="1" s="85">
      <c r="A733" s="4" t="n"/>
      <c r="B733" s="4" t="n"/>
      <c r="C733" s="4" t="n"/>
    </row>
    <row r="734" ht="15.75" customHeight="1" s="85">
      <c r="A734" s="4" t="n"/>
      <c r="B734" s="4" t="n"/>
      <c r="C734" s="4" t="n"/>
    </row>
    <row r="735" ht="15.75" customHeight="1" s="85">
      <c r="A735" s="4" t="n"/>
      <c r="B735" s="4" t="n"/>
      <c r="C735" s="4" t="n"/>
    </row>
    <row r="736" ht="15.75" customHeight="1" s="85">
      <c r="A736" s="4" t="n"/>
      <c r="B736" s="4" t="n"/>
      <c r="C736" s="4" t="n"/>
    </row>
    <row r="737" ht="15.75" customHeight="1" s="85">
      <c r="A737" s="4" t="n"/>
      <c r="B737" s="4" t="n"/>
      <c r="C737" s="4" t="n"/>
    </row>
    <row r="738" ht="15.75" customHeight="1" s="85">
      <c r="A738" s="4" t="n"/>
      <c r="B738" s="4" t="n"/>
      <c r="C738" s="4" t="n"/>
    </row>
    <row r="739" ht="15.75" customHeight="1" s="85">
      <c r="A739" s="4" t="n"/>
      <c r="B739" s="4" t="n"/>
      <c r="C739" s="4" t="n"/>
    </row>
    <row r="740" ht="15.75" customHeight="1" s="85">
      <c r="A740" s="4" t="n"/>
      <c r="B740" s="4" t="n"/>
      <c r="C740" s="4" t="n"/>
    </row>
    <row r="741" ht="15.75" customHeight="1" s="85">
      <c r="A741" s="4" t="n"/>
      <c r="B741" s="4" t="n"/>
      <c r="C741" s="4" t="n"/>
    </row>
    <row r="742" ht="15.75" customHeight="1" s="85">
      <c r="A742" s="4" t="n"/>
      <c r="B742" s="4" t="n"/>
      <c r="C742" s="4" t="n"/>
    </row>
    <row r="743" ht="15.75" customHeight="1" s="85">
      <c r="A743" s="4" t="n"/>
      <c r="B743" s="4" t="n"/>
      <c r="C743" s="4" t="n"/>
    </row>
    <row r="744" ht="15.75" customHeight="1" s="85">
      <c r="A744" s="4" t="n"/>
      <c r="B744" s="4" t="n"/>
      <c r="C744" s="4" t="n"/>
    </row>
    <row r="745" ht="15.75" customHeight="1" s="85">
      <c r="A745" s="4" t="n"/>
      <c r="B745" s="4" t="n"/>
      <c r="C745" s="4" t="n"/>
    </row>
    <row r="746" ht="15.75" customHeight="1" s="85">
      <c r="A746" s="4" t="n"/>
      <c r="B746" s="4" t="n"/>
      <c r="C746" s="4" t="n"/>
    </row>
    <row r="747" ht="15.75" customHeight="1" s="85">
      <c r="A747" s="4" t="n"/>
      <c r="B747" s="4" t="n"/>
      <c r="C747" s="4" t="n"/>
    </row>
    <row r="748" ht="15.75" customHeight="1" s="85">
      <c r="A748" s="4" t="n"/>
      <c r="B748" s="4" t="n"/>
      <c r="C748" s="4" t="n"/>
    </row>
    <row r="749" ht="15.75" customHeight="1" s="85">
      <c r="A749" s="4" t="n"/>
      <c r="B749" s="4" t="n"/>
      <c r="C749" s="4" t="n"/>
    </row>
    <row r="750" ht="15.75" customHeight="1" s="85">
      <c r="A750" s="4" t="n"/>
      <c r="B750" s="4" t="n"/>
      <c r="C750" s="4" t="n"/>
    </row>
    <row r="751" ht="15.75" customHeight="1" s="85">
      <c r="A751" s="4" t="n"/>
      <c r="B751" s="4" t="n"/>
      <c r="C751" s="4" t="n"/>
    </row>
    <row r="752" ht="15.75" customHeight="1" s="85">
      <c r="A752" s="4" t="n"/>
      <c r="B752" s="4" t="n"/>
      <c r="C752" s="4" t="n"/>
    </row>
    <row r="753" ht="15.75" customHeight="1" s="85">
      <c r="A753" s="4" t="n"/>
      <c r="B753" s="4" t="n"/>
      <c r="C753" s="4" t="n"/>
    </row>
    <row r="754" ht="15.75" customHeight="1" s="85">
      <c r="A754" s="4" t="n"/>
      <c r="B754" s="4" t="n"/>
      <c r="C754" s="4" t="n"/>
    </row>
    <row r="755" ht="15.75" customHeight="1" s="85">
      <c r="A755" s="4" t="n"/>
      <c r="B755" s="4" t="n"/>
      <c r="C755" s="4" t="n"/>
    </row>
    <row r="756" ht="15.75" customHeight="1" s="85">
      <c r="A756" s="4" t="n"/>
      <c r="B756" s="4" t="n"/>
      <c r="C756" s="4" t="n"/>
    </row>
    <row r="757" ht="15.75" customHeight="1" s="85">
      <c r="A757" s="4" t="n"/>
      <c r="B757" s="4" t="n"/>
      <c r="C757" s="4" t="n"/>
    </row>
    <row r="758" ht="15.75" customHeight="1" s="85">
      <c r="A758" s="4" t="n"/>
      <c r="B758" s="4" t="n"/>
      <c r="C758" s="4" t="n"/>
    </row>
    <row r="759" ht="15.75" customHeight="1" s="85">
      <c r="A759" s="4" t="n"/>
      <c r="B759" s="4" t="n"/>
      <c r="C759" s="4" t="n"/>
    </row>
    <row r="760" ht="15.75" customHeight="1" s="85">
      <c r="A760" s="4" t="n"/>
      <c r="B760" s="4" t="n"/>
      <c r="C760" s="4" t="n"/>
    </row>
    <row r="761" ht="15.75" customHeight="1" s="85">
      <c r="A761" s="4" t="n"/>
      <c r="B761" s="4" t="n"/>
      <c r="C761" s="4" t="n"/>
    </row>
    <row r="762" ht="15.75" customHeight="1" s="85">
      <c r="A762" s="4" t="n"/>
      <c r="B762" s="4" t="n"/>
      <c r="C762" s="4" t="n"/>
    </row>
    <row r="763" ht="15.75" customHeight="1" s="85">
      <c r="A763" s="4" t="n"/>
      <c r="B763" s="4" t="n"/>
      <c r="C763" s="4" t="n"/>
    </row>
    <row r="764" ht="15.75" customHeight="1" s="85">
      <c r="A764" s="4" t="n"/>
      <c r="B764" s="4" t="n"/>
      <c r="C764" s="4" t="n"/>
    </row>
    <row r="765" ht="15.75" customHeight="1" s="85">
      <c r="A765" s="4" t="n"/>
      <c r="B765" s="4" t="n"/>
      <c r="C765" s="4" t="n"/>
    </row>
    <row r="766" ht="15.75" customHeight="1" s="85">
      <c r="A766" s="4" t="n"/>
      <c r="B766" s="4" t="n"/>
      <c r="C766" s="4" t="n"/>
    </row>
    <row r="767" ht="15.75" customHeight="1" s="85">
      <c r="A767" s="4" t="n"/>
      <c r="B767" s="4" t="n"/>
      <c r="C767" s="4" t="n"/>
    </row>
    <row r="768" ht="15.75" customHeight="1" s="85">
      <c r="A768" s="4" t="n"/>
      <c r="B768" s="4" t="n"/>
      <c r="C768" s="4" t="n"/>
    </row>
    <row r="769" ht="15.75" customHeight="1" s="85">
      <c r="A769" s="4" t="n"/>
      <c r="B769" s="4" t="n"/>
      <c r="C769" s="4" t="n"/>
    </row>
    <row r="770" ht="15.75" customHeight="1" s="85">
      <c r="A770" s="4" t="n"/>
      <c r="B770" s="4" t="n"/>
      <c r="C770" s="4" t="n"/>
    </row>
    <row r="771" ht="15.75" customHeight="1" s="85">
      <c r="A771" s="4" t="n"/>
      <c r="B771" s="4" t="n"/>
      <c r="C771" s="4" t="n"/>
    </row>
    <row r="772" ht="15.75" customHeight="1" s="85">
      <c r="A772" s="4" t="n"/>
      <c r="B772" s="4" t="n"/>
      <c r="C772" s="4" t="n"/>
    </row>
    <row r="773" ht="15.75" customHeight="1" s="85">
      <c r="A773" s="4" t="n"/>
      <c r="B773" s="4" t="n"/>
      <c r="C773" s="4" t="n"/>
    </row>
    <row r="774" ht="15.75" customHeight="1" s="85">
      <c r="A774" s="4" t="n"/>
      <c r="B774" s="4" t="n"/>
      <c r="C774" s="4" t="n"/>
    </row>
    <row r="775" ht="15.75" customHeight="1" s="85">
      <c r="A775" s="4" t="n"/>
      <c r="B775" s="4" t="n"/>
      <c r="C775" s="4" t="n"/>
    </row>
    <row r="776" ht="15.75" customHeight="1" s="85">
      <c r="A776" s="4" t="n"/>
      <c r="B776" s="4" t="n"/>
      <c r="C776" s="4" t="n"/>
    </row>
    <row r="777" ht="15.75" customHeight="1" s="85">
      <c r="A777" s="4" t="n"/>
      <c r="B777" s="4" t="n"/>
      <c r="C777" s="4" t="n"/>
    </row>
    <row r="778" ht="15.75" customHeight="1" s="85">
      <c r="A778" s="4" t="n"/>
      <c r="B778" s="4" t="n"/>
      <c r="C778" s="4" t="n"/>
    </row>
    <row r="779" ht="15.75" customHeight="1" s="85">
      <c r="A779" s="4" t="n"/>
      <c r="B779" s="4" t="n"/>
      <c r="C779" s="4" t="n"/>
    </row>
    <row r="780" ht="15.75" customHeight="1" s="85">
      <c r="A780" s="4" t="n"/>
      <c r="B780" s="4" t="n"/>
      <c r="C780" s="4" t="n"/>
    </row>
    <row r="781" ht="15.75" customHeight="1" s="85">
      <c r="A781" s="4" t="n"/>
      <c r="B781" s="4" t="n"/>
      <c r="C781" s="4" t="n"/>
    </row>
    <row r="782" ht="15.75" customHeight="1" s="85">
      <c r="A782" s="4" t="n"/>
      <c r="B782" s="4" t="n"/>
      <c r="C782" s="4" t="n"/>
    </row>
    <row r="783" ht="15.75" customHeight="1" s="85">
      <c r="A783" s="4" t="n"/>
      <c r="B783" s="4" t="n"/>
      <c r="C783" s="4" t="n"/>
    </row>
    <row r="784" ht="15.75" customHeight="1" s="85">
      <c r="A784" s="4" t="n"/>
      <c r="B784" s="4" t="n"/>
      <c r="C784" s="4" t="n"/>
    </row>
    <row r="785" ht="15.75" customHeight="1" s="85">
      <c r="A785" s="4" t="n"/>
      <c r="B785" s="4" t="n"/>
      <c r="C785" s="4" t="n"/>
    </row>
    <row r="786" ht="15.75" customHeight="1" s="85">
      <c r="A786" s="4" t="n"/>
      <c r="B786" s="4" t="n"/>
      <c r="C786" s="4" t="n"/>
    </row>
    <row r="787" ht="15.75" customHeight="1" s="85">
      <c r="A787" s="4" t="n"/>
      <c r="B787" s="4" t="n"/>
      <c r="C787" s="4" t="n"/>
    </row>
    <row r="788" ht="15.75" customHeight="1" s="85">
      <c r="A788" s="4" t="n"/>
      <c r="B788" s="4" t="n"/>
      <c r="C788" s="4" t="n"/>
    </row>
    <row r="789" ht="15.75" customHeight="1" s="85">
      <c r="A789" s="4" t="n"/>
      <c r="B789" s="4" t="n"/>
      <c r="C789" s="4" t="n"/>
    </row>
    <row r="790" ht="15.75" customHeight="1" s="85">
      <c r="A790" s="4" t="n"/>
      <c r="B790" s="4" t="n"/>
      <c r="C790" s="4" t="n"/>
    </row>
    <row r="791" ht="15.75" customHeight="1" s="85">
      <c r="A791" s="4" t="n"/>
      <c r="B791" s="4" t="n"/>
      <c r="C791" s="4" t="n"/>
    </row>
    <row r="792" ht="15.75" customHeight="1" s="85">
      <c r="A792" s="4" t="n"/>
      <c r="B792" s="4" t="n"/>
      <c r="C792" s="4" t="n"/>
    </row>
    <row r="793" ht="15.75" customHeight="1" s="85">
      <c r="A793" s="4" t="n"/>
      <c r="B793" s="4" t="n"/>
      <c r="C793" s="4" t="n"/>
    </row>
    <row r="794" ht="15.75" customHeight="1" s="85">
      <c r="A794" s="4" t="n"/>
      <c r="B794" s="4" t="n"/>
      <c r="C794" s="4" t="n"/>
    </row>
    <row r="795" ht="15.75" customHeight="1" s="85">
      <c r="A795" s="4" t="n"/>
      <c r="B795" s="4" t="n"/>
      <c r="C795" s="4" t="n"/>
    </row>
    <row r="796" ht="15.75" customHeight="1" s="85">
      <c r="A796" s="4" t="n"/>
      <c r="B796" s="4" t="n"/>
      <c r="C796" s="4" t="n"/>
    </row>
    <row r="797" ht="15.75" customHeight="1" s="85">
      <c r="A797" s="4" t="n"/>
      <c r="B797" s="4" t="n"/>
      <c r="C797" s="4" t="n"/>
    </row>
    <row r="798" ht="15.75" customHeight="1" s="85">
      <c r="A798" s="4" t="n"/>
      <c r="B798" s="4" t="n"/>
      <c r="C798" s="4" t="n"/>
    </row>
    <row r="799" ht="15.75" customHeight="1" s="85">
      <c r="A799" s="4" t="n"/>
      <c r="B799" s="4" t="n"/>
      <c r="C799" s="4" t="n"/>
    </row>
    <row r="800" ht="15.75" customHeight="1" s="85">
      <c r="A800" s="4" t="n"/>
      <c r="B800" s="4" t="n"/>
      <c r="C800" s="4" t="n"/>
    </row>
    <row r="801" ht="15.75" customHeight="1" s="85">
      <c r="A801" s="4" t="n"/>
      <c r="B801" s="4" t="n"/>
      <c r="C801" s="4" t="n"/>
    </row>
    <row r="802" ht="15.75" customHeight="1" s="85">
      <c r="A802" s="4" t="n"/>
      <c r="B802" s="4" t="n"/>
      <c r="C802" s="4" t="n"/>
    </row>
    <row r="803" ht="15.75" customHeight="1" s="85">
      <c r="A803" s="4" t="n"/>
      <c r="B803" s="4" t="n"/>
      <c r="C803" s="4" t="n"/>
    </row>
    <row r="804" ht="15.75" customHeight="1" s="85">
      <c r="A804" s="4" t="n"/>
      <c r="B804" s="4" t="n"/>
      <c r="C804" s="4" t="n"/>
    </row>
    <row r="805" ht="15.75" customHeight="1" s="85">
      <c r="A805" s="4" t="n"/>
      <c r="B805" s="4" t="n"/>
      <c r="C805" s="4" t="n"/>
    </row>
    <row r="806" ht="15.75" customHeight="1" s="85">
      <c r="A806" s="4" t="n"/>
      <c r="B806" s="4" t="n"/>
      <c r="C806" s="4" t="n"/>
    </row>
    <row r="807" ht="15.75" customHeight="1" s="85">
      <c r="A807" s="4" t="n"/>
      <c r="B807" s="4" t="n"/>
      <c r="C807" s="4" t="n"/>
    </row>
    <row r="808" ht="15.75" customHeight="1" s="85">
      <c r="A808" s="4" t="n"/>
      <c r="B808" s="4" t="n"/>
      <c r="C808" s="4" t="n"/>
    </row>
    <row r="809" ht="15.75" customHeight="1" s="85">
      <c r="A809" s="4" t="n"/>
      <c r="B809" s="4" t="n"/>
      <c r="C809" s="4" t="n"/>
    </row>
    <row r="810" ht="15.75" customHeight="1" s="85">
      <c r="A810" s="4" t="n"/>
      <c r="B810" s="4" t="n"/>
      <c r="C810" s="4" t="n"/>
    </row>
    <row r="811" ht="15.75" customHeight="1" s="85">
      <c r="A811" s="4" t="n"/>
      <c r="B811" s="4" t="n"/>
      <c r="C811" s="4" t="n"/>
    </row>
    <row r="812" ht="15.75" customHeight="1" s="85">
      <c r="A812" s="4" t="n"/>
      <c r="B812" s="4" t="n"/>
      <c r="C812" s="4" t="n"/>
    </row>
    <row r="813" ht="15.75" customHeight="1" s="85">
      <c r="A813" s="4" t="n"/>
      <c r="B813" s="4" t="n"/>
      <c r="C813" s="4" t="n"/>
    </row>
    <row r="814" ht="15.75" customHeight="1" s="85">
      <c r="A814" s="4" t="n"/>
      <c r="B814" s="4" t="n"/>
      <c r="C814" s="4" t="n"/>
    </row>
    <row r="815" ht="15.75" customHeight="1" s="85">
      <c r="A815" s="4" t="n"/>
      <c r="B815" s="4" t="n"/>
      <c r="C815" s="4" t="n"/>
    </row>
    <row r="816" ht="15.75" customHeight="1" s="85">
      <c r="A816" s="4" t="n"/>
      <c r="B816" s="4" t="n"/>
      <c r="C816" s="4" t="n"/>
    </row>
    <row r="817" ht="15.75" customHeight="1" s="85">
      <c r="A817" s="4" t="n"/>
      <c r="B817" s="4" t="n"/>
      <c r="C817" s="4" t="n"/>
    </row>
    <row r="818" ht="15.75" customHeight="1" s="85">
      <c r="A818" s="4" t="n"/>
      <c r="B818" s="4" t="n"/>
      <c r="C818" s="4" t="n"/>
    </row>
    <row r="819" ht="15.75" customHeight="1" s="85">
      <c r="A819" s="4" t="n"/>
      <c r="B819" s="4" t="n"/>
      <c r="C819" s="4" t="n"/>
    </row>
    <row r="820" ht="15.75" customHeight="1" s="85">
      <c r="A820" s="4" t="n"/>
      <c r="B820" s="4" t="n"/>
      <c r="C820" s="4" t="n"/>
    </row>
    <row r="821" ht="15.75" customHeight="1" s="85">
      <c r="A821" s="4" t="n"/>
      <c r="B821" s="4" t="n"/>
      <c r="C821" s="4" t="n"/>
    </row>
    <row r="822" ht="15.75" customHeight="1" s="85">
      <c r="A822" s="4" t="n"/>
      <c r="B822" s="4" t="n"/>
      <c r="C822" s="4" t="n"/>
    </row>
    <row r="823" ht="15.75" customHeight="1" s="85">
      <c r="A823" s="4" t="n"/>
      <c r="B823" s="4" t="n"/>
      <c r="C823" s="4" t="n"/>
    </row>
    <row r="824" ht="15.75" customHeight="1" s="85">
      <c r="A824" s="4" t="n"/>
      <c r="B824" s="4" t="n"/>
      <c r="C824" s="4" t="n"/>
    </row>
    <row r="825" ht="15.75" customHeight="1" s="85">
      <c r="A825" s="4" t="n"/>
      <c r="B825" s="4" t="n"/>
      <c r="C825" s="4" t="n"/>
    </row>
    <row r="826" ht="15.75" customHeight="1" s="85">
      <c r="A826" s="4" t="n"/>
      <c r="B826" s="4" t="n"/>
      <c r="C826" s="4" t="n"/>
    </row>
    <row r="827" ht="15.75" customHeight="1" s="85">
      <c r="A827" s="4" t="n"/>
      <c r="B827" s="4" t="n"/>
      <c r="C827" s="4" t="n"/>
    </row>
    <row r="828" ht="15.75" customHeight="1" s="85">
      <c r="A828" s="4" t="n"/>
      <c r="B828" s="4" t="n"/>
      <c r="C828" s="4" t="n"/>
    </row>
    <row r="829" ht="15.75" customHeight="1" s="85">
      <c r="A829" s="4" t="n"/>
      <c r="B829" s="4" t="n"/>
      <c r="C829" s="4" t="n"/>
    </row>
    <row r="830" ht="15.75" customHeight="1" s="85">
      <c r="A830" s="4" t="n"/>
      <c r="B830" s="4" t="n"/>
      <c r="C830" s="4" t="n"/>
    </row>
    <row r="831" ht="15.75" customHeight="1" s="85">
      <c r="A831" s="4" t="n"/>
      <c r="B831" s="4" t="n"/>
      <c r="C831" s="4" t="n"/>
    </row>
    <row r="832" ht="15.75" customHeight="1" s="85">
      <c r="A832" s="4" t="n"/>
      <c r="B832" s="4" t="n"/>
      <c r="C832" s="4" t="n"/>
    </row>
    <row r="833" ht="15.75" customHeight="1" s="85">
      <c r="A833" s="4" t="n"/>
      <c r="B833" s="4" t="n"/>
      <c r="C833" s="4" t="n"/>
    </row>
    <row r="834" ht="15.75" customHeight="1" s="85">
      <c r="A834" s="4" t="n"/>
      <c r="B834" s="4" t="n"/>
      <c r="C834" s="4" t="n"/>
    </row>
    <row r="835" ht="15.75" customHeight="1" s="85">
      <c r="A835" s="4" t="n"/>
      <c r="B835" s="4" t="n"/>
      <c r="C835" s="4" t="n"/>
    </row>
    <row r="836" ht="15.75" customHeight="1" s="85">
      <c r="A836" s="4" t="n"/>
      <c r="B836" s="4" t="n"/>
      <c r="C836" s="4" t="n"/>
    </row>
    <row r="837" ht="15.75" customHeight="1" s="85">
      <c r="A837" s="4" t="n"/>
      <c r="B837" s="4" t="n"/>
      <c r="C837" s="4" t="n"/>
    </row>
    <row r="838" ht="15.75" customHeight="1" s="85">
      <c r="A838" s="4" t="n"/>
      <c r="B838" s="4" t="n"/>
      <c r="C838" s="4" t="n"/>
    </row>
    <row r="839" ht="15.75" customHeight="1" s="85">
      <c r="A839" s="4" t="n"/>
      <c r="B839" s="4" t="n"/>
      <c r="C839" s="4" t="n"/>
    </row>
    <row r="840" ht="15.75" customHeight="1" s="85">
      <c r="A840" s="4" t="n"/>
      <c r="B840" s="4" t="n"/>
      <c r="C840" s="4" t="n"/>
    </row>
    <row r="841" ht="15.75" customHeight="1" s="85">
      <c r="A841" s="4" t="n"/>
      <c r="B841" s="4" t="n"/>
      <c r="C841" s="4" t="n"/>
    </row>
    <row r="842" ht="15.75" customHeight="1" s="85">
      <c r="A842" s="4" t="n"/>
      <c r="B842" s="4" t="n"/>
      <c r="C842" s="4" t="n"/>
    </row>
    <row r="843" ht="15.75" customHeight="1" s="85">
      <c r="A843" s="4" t="n"/>
      <c r="B843" s="4" t="n"/>
      <c r="C843" s="4" t="n"/>
    </row>
    <row r="844" ht="15.75" customHeight="1" s="85">
      <c r="A844" s="4" t="n"/>
      <c r="B844" s="4" t="n"/>
      <c r="C844" s="4" t="n"/>
    </row>
    <row r="845" ht="15.75" customHeight="1" s="85">
      <c r="A845" s="4" t="n"/>
      <c r="B845" s="4" t="n"/>
      <c r="C845" s="4" t="n"/>
    </row>
    <row r="846" ht="15.75" customHeight="1" s="85">
      <c r="A846" s="4" t="n"/>
      <c r="B846" s="4" t="n"/>
      <c r="C846" s="4" t="n"/>
    </row>
    <row r="847" ht="15.75" customHeight="1" s="85">
      <c r="A847" s="4" t="n"/>
      <c r="B847" s="4" t="n"/>
      <c r="C847" s="4" t="n"/>
    </row>
    <row r="848" ht="15.75" customHeight="1" s="85">
      <c r="A848" s="4" t="n"/>
      <c r="B848" s="4" t="n"/>
      <c r="C848" s="4" t="n"/>
    </row>
    <row r="849" ht="15.75" customHeight="1" s="85">
      <c r="A849" s="4" t="n"/>
      <c r="B849" s="4" t="n"/>
      <c r="C849" s="4" t="n"/>
    </row>
    <row r="850" ht="15.75" customHeight="1" s="85">
      <c r="A850" s="4" t="n"/>
      <c r="B850" s="4" t="n"/>
      <c r="C850" s="4" t="n"/>
    </row>
    <row r="851" ht="15.75" customHeight="1" s="85">
      <c r="A851" s="4" t="n"/>
      <c r="B851" s="4" t="n"/>
      <c r="C851" s="4" t="n"/>
    </row>
    <row r="852" ht="15.75" customHeight="1" s="85">
      <c r="A852" s="4" t="n"/>
      <c r="B852" s="4" t="n"/>
      <c r="C852" s="4" t="n"/>
    </row>
    <row r="853" ht="15.75" customHeight="1" s="85">
      <c r="A853" s="4" t="n"/>
      <c r="B853" s="4" t="n"/>
      <c r="C853" s="4" t="n"/>
    </row>
    <row r="854" ht="15.75" customHeight="1" s="85">
      <c r="A854" s="4" t="n"/>
      <c r="B854" s="4" t="n"/>
      <c r="C854" s="4" t="n"/>
    </row>
    <row r="855" ht="15.75" customHeight="1" s="85">
      <c r="A855" s="4" t="n"/>
      <c r="B855" s="4" t="n"/>
      <c r="C855" s="4" t="n"/>
    </row>
    <row r="856" ht="15.75" customHeight="1" s="85">
      <c r="A856" s="4" t="n"/>
      <c r="B856" s="4" t="n"/>
      <c r="C856" s="4" t="n"/>
    </row>
    <row r="857" ht="15.75" customHeight="1" s="85">
      <c r="A857" s="4" t="n"/>
      <c r="B857" s="4" t="n"/>
      <c r="C857" s="4" t="n"/>
    </row>
    <row r="858" ht="15.75" customHeight="1" s="85">
      <c r="A858" s="4" t="n"/>
      <c r="B858" s="4" t="n"/>
      <c r="C858" s="4" t="n"/>
    </row>
    <row r="859" ht="15.75" customHeight="1" s="85">
      <c r="A859" s="4" t="n"/>
      <c r="B859" s="4" t="n"/>
      <c r="C859" s="4" t="n"/>
    </row>
    <row r="860" ht="15.75" customHeight="1" s="85">
      <c r="A860" s="4" t="n"/>
      <c r="B860" s="4" t="n"/>
      <c r="C860" s="4" t="n"/>
    </row>
    <row r="861" ht="15.75" customHeight="1" s="85">
      <c r="A861" s="4" t="n"/>
      <c r="B861" s="4" t="n"/>
      <c r="C861" s="4" t="n"/>
    </row>
    <row r="862" ht="15.75" customHeight="1" s="85">
      <c r="A862" s="4" t="n"/>
      <c r="B862" s="4" t="n"/>
      <c r="C862" s="4" t="n"/>
    </row>
    <row r="863" ht="15.75" customHeight="1" s="85">
      <c r="A863" s="4" t="n"/>
      <c r="B863" s="4" t="n"/>
      <c r="C863" s="4" t="n"/>
    </row>
    <row r="864" ht="15.75" customHeight="1" s="85">
      <c r="A864" s="4" t="n"/>
      <c r="B864" s="4" t="n"/>
      <c r="C864" s="4" t="n"/>
    </row>
    <row r="865" ht="15.75" customHeight="1" s="85">
      <c r="A865" s="4" t="n"/>
      <c r="B865" s="4" t="n"/>
      <c r="C865" s="4" t="n"/>
    </row>
    <row r="866" ht="15.75" customHeight="1" s="85">
      <c r="A866" s="4" t="n"/>
      <c r="B866" s="4" t="n"/>
      <c r="C866" s="4" t="n"/>
    </row>
    <row r="867" ht="15.75" customHeight="1" s="85">
      <c r="A867" s="4" t="n"/>
      <c r="B867" s="4" t="n"/>
      <c r="C867" s="4" t="n"/>
    </row>
    <row r="868" ht="15.75" customHeight="1" s="85">
      <c r="A868" s="4" t="n"/>
      <c r="B868" s="4" t="n"/>
      <c r="C868" s="4" t="n"/>
    </row>
    <row r="869" ht="15.75" customHeight="1" s="85">
      <c r="A869" s="4" t="n"/>
      <c r="B869" s="4" t="n"/>
      <c r="C869" s="4" t="n"/>
    </row>
    <row r="870" ht="15.75" customHeight="1" s="85">
      <c r="A870" s="4" t="n"/>
      <c r="B870" s="4" t="n"/>
      <c r="C870" s="4" t="n"/>
    </row>
    <row r="871" ht="15.75" customHeight="1" s="85">
      <c r="A871" s="4" t="n"/>
      <c r="B871" s="4" t="n"/>
      <c r="C871" s="4" t="n"/>
    </row>
    <row r="872" ht="15.75" customHeight="1" s="85">
      <c r="A872" s="4" t="n"/>
      <c r="B872" s="4" t="n"/>
      <c r="C872" s="4" t="n"/>
    </row>
    <row r="873" ht="15.75" customHeight="1" s="85">
      <c r="A873" s="4" t="n"/>
      <c r="B873" s="4" t="n"/>
      <c r="C873" s="4" t="n"/>
    </row>
    <row r="874" ht="15.75" customHeight="1" s="85">
      <c r="A874" s="4" t="n"/>
      <c r="B874" s="4" t="n"/>
      <c r="C874" s="4" t="n"/>
    </row>
    <row r="875" ht="15.75" customHeight="1" s="85">
      <c r="A875" s="4" t="n"/>
      <c r="B875" s="4" t="n"/>
      <c r="C875" s="4" t="n"/>
    </row>
    <row r="876" ht="15.75" customHeight="1" s="85">
      <c r="A876" s="4" t="n"/>
      <c r="B876" s="4" t="n"/>
      <c r="C876" s="4" t="n"/>
    </row>
    <row r="877" ht="15.75" customHeight="1" s="85">
      <c r="A877" s="4" t="n"/>
      <c r="B877" s="4" t="n"/>
      <c r="C877" s="4" t="n"/>
    </row>
    <row r="878" ht="15.75" customHeight="1" s="85">
      <c r="A878" s="4" t="n"/>
      <c r="B878" s="4" t="n"/>
      <c r="C878" s="4" t="n"/>
    </row>
    <row r="879" ht="15.75" customHeight="1" s="85">
      <c r="A879" s="4" t="n"/>
      <c r="B879" s="4" t="n"/>
      <c r="C879" s="4" t="n"/>
    </row>
    <row r="880" ht="15.75" customHeight="1" s="85">
      <c r="A880" s="4" t="n"/>
      <c r="B880" s="4" t="n"/>
      <c r="C880" s="4" t="n"/>
    </row>
    <row r="881" ht="15.75" customHeight="1" s="85">
      <c r="A881" s="4" t="n"/>
      <c r="B881" s="4" t="n"/>
      <c r="C881" s="4" t="n"/>
    </row>
    <row r="882" ht="15.75" customHeight="1" s="85">
      <c r="A882" s="4" t="n"/>
      <c r="B882" s="4" t="n"/>
      <c r="C882" s="4" t="n"/>
    </row>
    <row r="883" ht="15.75" customHeight="1" s="85">
      <c r="A883" s="4" t="n"/>
      <c r="B883" s="4" t="n"/>
      <c r="C883" s="4" t="n"/>
    </row>
    <row r="884" ht="15.75" customHeight="1" s="85">
      <c r="A884" s="4" t="n"/>
      <c r="B884" s="4" t="n"/>
      <c r="C884" s="4" t="n"/>
    </row>
    <row r="885" ht="15.75" customHeight="1" s="85">
      <c r="A885" s="4" t="n"/>
      <c r="B885" s="4" t="n"/>
      <c r="C885" s="4" t="n"/>
    </row>
    <row r="886" ht="15.75" customHeight="1" s="85">
      <c r="A886" s="4" t="n"/>
      <c r="B886" s="4" t="n"/>
      <c r="C886" s="4" t="n"/>
    </row>
    <row r="887" ht="15.75" customHeight="1" s="85">
      <c r="A887" s="4" t="n"/>
      <c r="B887" s="4" t="n"/>
      <c r="C887" s="4" t="n"/>
    </row>
    <row r="888" ht="15.75" customHeight="1" s="85">
      <c r="A888" s="4" t="n"/>
      <c r="B888" s="4" t="n"/>
      <c r="C888" s="4" t="n"/>
    </row>
    <row r="889" ht="15.75" customHeight="1" s="85">
      <c r="A889" s="4" t="n"/>
      <c r="B889" s="4" t="n"/>
      <c r="C889" s="4" t="n"/>
    </row>
    <row r="890" ht="15.75" customHeight="1" s="85">
      <c r="A890" s="4" t="n"/>
      <c r="B890" s="4" t="n"/>
      <c r="C890" s="4" t="n"/>
    </row>
    <row r="891" ht="15.75" customHeight="1" s="85">
      <c r="A891" s="4" t="n"/>
      <c r="B891" s="4" t="n"/>
      <c r="C891" s="4" t="n"/>
    </row>
    <row r="892" ht="15.75" customHeight="1" s="85">
      <c r="A892" s="4" t="n"/>
      <c r="B892" s="4" t="n"/>
      <c r="C892" s="4" t="n"/>
    </row>
    <row r="893" ht="15.75" customHeight="1" s="85">
      <c r="A893" s="4" t="n"/>
      <c r="B893" s="4" t="n"/>
      <c r="C893" s="4" t="n"/>
    </row>
    <row r="894" ht="15.75" customHeight="1" s="85">
      <c r="A894" s="4" t="n"/>
      <c r="B894" s="4" t="n"/>
      <c r="C894" s="4" t="n"/>
    </row>
    <row r="895" ht="15.75" customHeight="1" s="85">
      <c r="A895" s="4" t="n"/>
      <c r="B895" s="4" t="n"/>
      <c r="C895" s="4" t="n"/>
    </row>
    <row r="896" ht="15.75" customHeight="1" s="85">
      <c r="A896" s="4" t="n"/>
      <c r="B896" s="4" t="n"/>
      <c r="C896" s="4" t="n"/>
    </row>
    <row r="897" ht="15.75" customHeight="1" s="85">
      <c r="A897" s="4" t="n"/>
      <c r="B897" s="4" t="n"/>
      <c r="C897" s="4" t="n"/>
    </row>
    <row r="898" ht="15.75" customHeight="1" s="85">
      <c r="A898" s="4" t="n"/>
      <c r="B898" s="4" t="n"/>
      <c r="C898" s="4" t="n"/>
    </row>
    <row r="899" ht="15.75" customHeight="1" s="85">
      <c r="A899" s="4" t="n"/>
      <c r="B899" s="4" t="n"/>
      <c r="C899" s="4" t="n"/>
    </row>
    <row r="900" ht="15.75" customHeight="1" s="85">
      <c r="A900" s="4" t="n"/>
      <c r="B900" s="4" t="n"/>
      <c r="C900" s="4" t="n"/>
    </row>
    <row r="901" ht="15.75" customHeight="1" s="85">
      <c r="A901" s="4" t="n"/>
      <c r="B901" s="4" t="n"/>
      <c r="C901" s="4" t="n"/>
    </row>
    <row r="902" ht="15.75" customHeight="1" s="85">
      <c r="A902" s="4" t="n"/>
      <c r="B902" s="4" t="n"/>
      <c r="C902" s="4" t="n"/>
    </row>
    <row r="903" ht="15.75" customHeight="1" s="85">
      <c r="A903" s="4" t="n"/>
      <c r="B903" s="4" t="n"/>
      <c r="C903" s="4" t="n"/>
    </row>
    <row r="904" ht="15.75" customHeight="1" s="85">
      <c r="A904" s="4" t="n"/>
      <c r="B904" s="4" t="n"/>
      <c r="C904" s="4" t="n"/>
    </row>
    <row r="905" ht="15.75" customHeight="1" s="85">
      <c r="A905" s="4" t="n"/>
      <c r="B905" s="4" t="n"/>
      <c r="C905" s="4" t="n"/>
    </row>
    <row r="906" ht="15.75" customHeight="1" s="85">
      <c r="A906" s="4" t="n"/>
      <c r="B906" s="4" t="n"/>
      <c r="C906" s="4" t="n"/>
    </row>
    <row r="907" ht="15.75" customHeight="1" s="85">
      <c r="A907" s="4" t="n"/>
      <c r="B907" s="4" t="n"/>
      <c r="C907" s="4" t="n"/>
    </row>
    <row r="908" ht="15.75" customHeight="1" s="85">
      <c r="A908" s="4" t="n"/>
      <c r="B908" s="4" t="n"/>
      <c r="C908" s="4" t="n"/>
    </row>
    <row r="909" ht="15.75" customHeight="1" s="85">
      <c r="A909" s="4" t="n"/>
      <c r="B909" s="4" t="n"/>
      <c r="C909" s="4" t="n"/>
    </row>
    <row r="910" ht="15.75" customHeight="1" s="85">
      <c r="A910" s="4" t="n"/>
      <c r="B910" s="4" t="n"/>
      <c r="C910" s="4" t="n"/>
    </row>
    <row r="911" ht="15.75" customHeight="1" s="85">
      <c r="A911" s="4" t="n"/>
      <c r="B911" s="4" t="n"/>
      <c r="C911" s="4" t="n"/>
    </row>
    <row r="912" ht="15.75" customHeight="1" s="85">
      <c r="A912" s="4" t="n"/>
      <c r="B912" s="4" t="n"/>
      <c r="C912" s="4" t="n"/>
    </row>
    <row r="913" ht="15.75" customHeight="1" s="85">
      <c r="A913" s="4" t="n"/>
      <c r="B913" s="4" t="n"/>
      <c r="C913" s="4" t="n"/>
    </row>
    <row r="914" ht="15.75" customHeight="1" s="85">
      <c r="A914" s="4" t="n"/>
      <c r="B914" s="4" t="n"/>
      <c r="C914" s="4" t="n"/>
    </row>
    <row r="915" ht="15.75" customHeight="1" s="85">
      <c r="A915" s="4" t="n"/>
      <c r="B915" s="4" t="n"/>
      <c r="C915" s="4" t="n"/>
    </row>
    <row r="916" ht="15.75" customHeight="1" s="85">
      <c r="A916" s="4" t="n"/>
      <c r="B916" s="4" t="n"/>
      <c r="C916" s="4" t="n"/>
    </row>
    <row r="917" ht="15.75" customHeight="1" s="85">
      <c r="A917" s="4" t="n"/>
      <c r="B917" s="4" t="n"/>
      <c r="C917" s="4" t="n"/>
    </row>
    <row r="918" ht="15.75" customHeight="1" s="85">
      <c r="A918" s="4" t="n"/>
      <c r="B918" s="4" t="n"/>
      <c r="C918" s="4" t="n"/>
    </row>
    <row r="919" ht="15.75" customHeight="1" s="85">
      <c r="A919" s="4" t="n"/>
      <c r="B919" s="4" t="n"/>
      <c r="C919" s="4" t="n"/>
    </row>
    <row r="920" ht="15.75" customHeight="1" s="85">
      <c r="A920" s="4" t="n"/>
      <c r="B920" s="4" t="n"/>
      <c r="C920" s="4" t="n"/>
    </row>
    <row r="921" ht="15.75" customHeight="1" s="85">
      <c r="A921" s="4" t="n"/>
      <c r="B921" s="4" t="n"/>
      <c r="C921" s="4" t="n"/>
    </row>
    <row r="922" ht="15.75" customHeight="1" s="85">
      <c r="A922" s="4" t="n"/>
      <c r="B922" s="4" t="n"/>
      <c r="C922" s="4" t="n"/>
    </row>
    <row r="923" ht="15.75" customHeight="1" s="85">
      <c r="A923" s="4" t="n"/>
      <c r="B923" s="4" t="n"/>
      <c r="C923" s="4" t="n"/>
    </row>
    <row r="924" ht="15.75" customHeight="1" s="85">
      <c r="A924" s="4" t="n"/>
      <c r="B924" s="4" t="n"/>
      <c r="C924" s="4" t="n"/>
    </row>
    <row r="925" ht="15.75" customHeight="1" s="85">
      <c r="A925" s="4" t="n"/>
      <c r="B925" s="4" t="n"/>
      <c r="C925" s="4" t="n"/>
    </row>
    <row r="926" ht="15.75" customHeight="1" s="85">
      <c r="A926" s="4" t="n"/>
      <c r="B926" s="4" t="n"/>
      <c r="C926" s="4" t="n"/>
    </row>
    <row r="927" ht="15.75" customHeight="1" s="85">
      <c r="A927" s="4" t="n"/>
      <c r="B927" s="4" t="n"/>
      <c r="C927" s="4" t="n"/>
    </row>
    <row r="928" ht="15.75" customHeight="1" s="85">
      <c r="A928" s="4" t="n"/>
      <c r="B928" s="4" t="n"/>
      <c r="C928" s="4" t="n"/>
    </row>
    <row r="929" ht="15.75" customHeight="1" s="85">
      <c r="A929" s="4" t="n"/>
      <c r="B929" s="4" t="n"/>
      <c r="C929" s="4" t="n"/>
    </row>
    <row r="930" ht="15.75" customHeight="1" s="85">
      <c r="A930" s="4" t="n"/>
      <c r="B930" s="4" t="n"/>
      <c r="C930" s="4" t="n"/>
    </row>
    <row r="931" ht="15.75" customHeight="1" s="85">
      <c r="A931" s="4" t="n"/>
      <c r="B931" s="4" t="n"/>
      <c r="C931" s="4" t="n"/>
    </row>
    <row r="932" ht="15.75" customHeight="1" s="85">
      <c r="A932" s="4" t="n"/>
      <c r="B932" s="4" t="n"/>
      <c r="C932" s="4" t="n"/>
    </row>
    <row r="933" ht="15.75" customHeight="1" s="85">
      <c r="A933" s="4" t="n"/>
      <c r="B933" s="4" t="n"/>
      <c r="C933" s="4" t="n"/>
    </row>
    <row r="934" ht="15.75" customHeight="1" s="85">
      <c r="A934" s="4" t="n"/>
      <c r="B934" s="4" t="n"/>
      <c r="C934" s="4" t="n"/>
    </row>
    <row r="935" ht="15.75" customHeight="1" s="85">
      <c r="A935" s="4" t="n"/>
      <c r="B935" s="4" t="n"/>
      <c r="C935" s="4" t="n"/>
    </row>
    <row r="936" ht="15.75" customHeight="1" s="85">
      <c r="A936" s="4" t="n"/>
      <c r="B936" s="4" t="n"/>
      <c r="C936" s="4" t="n"/>
    </row>
    <row r="937" ht="15.75" customHeight="1" s="85">
      <c r="A937" s="4" t="n"/>
      <c r="B937" s="4" t="n"/>
      <c r="C937" s="4" t="n"/>
    </row>
    <row r="938" ht="15.75" customHeight="1" s="85">
      <c r="A938" s="4" t="n"/>
      <c r="B938" s="4" t="n"/>
      <c r="C938" s="4" t="n"/>
    </row>
    <row r="939" ht="15.75" customHeight="1" s="85">
      <c r="A939" s="4" t="n"/>
      <c r="B939" s="4" t="n"/>
      <c r="C939" s="4" t="n"/>
    </row>
    <row r="940" ht="15.75" customHeight="1" s="85">
      <c r="A940" s="4" t="n"/>
      <c r="B940" s="4" t="n"/>
      <c r="C940" s="4" t="n"/>
    </row>
    <row r="941" ht="15.75" customHeight="1" s="85">
      <c r="A941" s="4" t="n"/>
      <c r="B941" s="4" t="n"/>
      <c r="C941" s="4" t="n"/>
    </row>
    <row r="942" ht="15.75" customHeight="1" s="85">
      <c r="A942" s="4" t="n"/>
      <c r="B942" s="4" t="n"/>
      <c r="C942" s="4" t="n"/>
    </row>
    <row r="943" ht="15.75" customHeight="1" s="85">
      <c r="A943" s="4" t="n"/>
      <c r="B943" s="4" t="n"/>
      <c r="C943" s="4" t="n"/>
    </row>
    <row r="944" ht="15.75" customHeight="1" s="85">
      <c r="A944" s="4" t="n"/>
      <c r="B944" s="4" t="n"/>
      <c r="C944" s="4" t="n"/>
    </row>
    <row r="945" ht="15.75" customHeight="1" s="85">
      <c r="A945" s="4" t="n"/>
      <c r="B945" s="4" t="n"/>
      <c r="C945" s="4" t="n"/>
    </row>
    <row r="946" ht="15.75" customHeight="1" s="85">
      <c r="A946" s="4" t="n"/>
      <c r="B946" s="4" t="n"/>
      <c r="C946" s="4" t="n"/>
    </row>
    <row r="947" ht="15.75" customHeight="1" s="85">
      <c r="A947" s="4" t="n"/>
      <c r="B947" s="4" t="n"/>
      <c r="C947" s="4" t="n"/>
    </row>
    <row r="948" ht="15.75" customHeight="1" s="85">
      <c r="A948" s="4" t="n"/>
      <c r="B948" s="4" t="n"/>
      <c r="C948" s="4" t="n"/>
    </row>
    <row r="949" ht="15.75" customHeight="1" s="85">
      <c r="A949" s="4" t="n"/>
      <c r="B949" s="4" t="n"/>
      <c r="C949" s="4" t="n"/>
    </row>
    <row r="950" ht="15.75" customHeight="1" s="85">
      <c r="A950" s="4" t="n"/>
      <c r="B950" s="4" t="n"/>
      <c r="C950" s="4" t="n"/>
    </row>
    <row r="951" ht="15.75" customHeight="1" s="85">
      <c r="A951" s="4" t="n"/>
      <c r="B951" s="4" t="n"/>
      <c r="C951" s="4" t="n"/>
    </row>
    <row r="952" ht="15.75" customHeight="1" s="85">
      <c r="A952" s="4" t="n"/>
      <c r="B952" s="4" t="n"/>
      <c r="C952" s="4" t="n"/>
    </row>
    <row r="953" ht="15.75" customHeight="1" s="85">
      <c r="A953" s="4" t="n"/>
      <c r="B953" s="4" t="n"/>
      <c r="C953" s="4" t="n"/>
    </row>
    <row r="954" ht="15.75" customHeight="1" s="85">
      <c r="A954" s="4" t="n"/>
      <c r="B954" s="4" t="n"/>
      <c r="C954" s="4" t="n"/>
    </row>
    <row r="955" ht="15.75" customHeight="1" s="85">
      <c r="A955" s="4" t="n"/>
      <c r="B955" s="4" t="n"/>
      <c r="C955" s="4" t="n"/>
    </row>
    <row r="956" ht="15.75" customHeight="1" s="85">
      <c r="A956" s="4" t="n"/>
      <c r="B956" s="4" t="n"/>
      <c r="C956" s="4" t="n"/>
    </row>
    <row r="957" ht="15.75" customHeight="1" s="85">
      <c r="A957" s="4" t="n"/>
      <c r="B957" s="4" t="n"/>
      <c r="C957" s="4" t="n"/>
    </row>
    <row r="958" ht="15.75" customHeight="1" s="85">
      <c r="A958" s="4" t="n"/>
      <c r="B958" s="4" t="n"/>
      <c r="C958" s="4" t="n"/>
    </row>
    <row r="959" ht="15.75" customHeight="1" s="85">
      <c r="A959" s="4" t="n"/>
      <c r="B959" s="4" t="n"/>
      <c r="C959" s="4" t="n"/>
    </row>
    <row r="960" ht="15.75" customHeight="1" s="85">
      <c r="A960" s="4" t="n"/>
      <c r="B960" s="4" t="n"/>
      <c r="C960" s="4" t="n"/>
    </row>
    <row r="961" ht="15.75" customHeight="1" s="85">
      <c r="A961" s="4" t="n"/>
      <c r="B961" s="4" t="n"/>
      <c r="C961" s="4" t="n"/>
    </row>
    <row r="962" ht="15.75" customHeight="1" s="85">
      <c r="A962" s="4" t="n"/>
      <c r="B962" s="4" t="n"/>
      <c r="C962" s="4" t="n"/>
    </row>
    <row r="963" ht="15.75" customHeight="1" s="85">
      <c r="A963" s="4" t="n"/>
      <c r="B963" s="4" t="n"/>
      <c r="C963" s="4" t="n"/>
    </row>
    <row r="964" ht="15.75" customHeight="1" s="85">
      <c r="A964" s="4" t="n"/>
      <c r="B964" s="4" t="n"/>
      <c r="C964" s="4" t="n"/>
    </row>
    <row r="965" ht="15.75" customHeight="1" s="85">
      <c r="A965" s="4" t="n"/>
      <c r="B965" s="4" t="n"/>
      <c r="C965" s="4" t="n"/>
    </row>
    <row r="966" ht="15.75" customHeight="1" s="85">
      <c r="A966" s="4" t="n"/>
      <c r="B966" s="4" t="n"/>
      <c r="C966" s="4" t="n"/>
    </row>
    <row r="967" ht="15.75" customHeight="1" s="85">
      <c r="A967" s="4" t="n"/>
      <c r="B967" s="4" t="n"/>
      <c r="C967" s="4" t="n"/>
    </row>
    <row r="968" ht="15.75" customHeight="1" s="85">
      <c r="A968" s="4" t="n"/>
      <c r="B968" s="4" t="n"/>
      <c r="C968" s="4" t="n"/>
    </row>
    <row r="969" ht="15.75" customHeight="1" s="85">
      <c r="A969" s="4" t="n"/>
      <c r="B969" s="4" t="n"/>
      <c r="C969" s="4" t="n"/>
    </row>
    <row r="970" ht="15.75" customHeight="1" s="85">
      <c r="A970" s="4" t="n"/>
      <c r="B970" s="4" t="n"/>
      <c r="C970" s="4" t="n"/>
    </row>
    <row r="971" ht="15.75" customHeight="1" s="85">
      <c r="A971" s="4" t="n"/>
      <c r="B971" s="4" t="n"/>
      <c r="C971" s="4" t="n"/>
    </row>
    <row r="972" ht="15.75" customHeight="1" s="85">
      <c r="A972" s="4" t="n"/>
      <c r="B972" s="4" t="n"/>
      <c r="C972" s="4" t="n"/>
    </row>
    <row r="973" ht="15.75" customHeight="1" s="85">
      <c r="A973" s="4" t="n"/>
      <c r="B973" s="4" t="n"/>
      <c r="C973" s="4" t="n"/>
    </row>
    <row r="974" ht="15.75" customHeight="1" s="85">
      <c r="A974" s="4" t="n"/>
      <c r="B974" s="4" t="n"/>
      <c r="C974" s="4" t="n"/>
    </row>
    <row r="975" ht="15.75" customHeight="1" s="85">
      <c r="A975" s="4" t="n"/>
      <c r="B975" s="4" t="n"/>
      <c r="C975" s="4" t="n"/>
    </row>
    <row r="976" ht="15.75" customHeight="1" s="85">
      <c r="A976" s="4" t="n"/>
      <c r="B976" s="4" t="n"/>
      <c r="C976" s="4" t="n"/>
    </row>
    <row r="977" ht="15.75" customHeight="1" s="85">
      <c r="A977" s="4" t="n"/>
      <c r="B977" s="4" t="n"/>
      <c r="C977" s="4" t="n"/>
    </row>
    <row r="978" ht="15.75" customHeight="1" s="85">
      <c r="A978" s="4" t="n"/>
      <c r="B978" s="4" t="n"/>
      <c r="C978" s="4" t="n"/>
    </row>
    <row r="979" ht="15.75" customHeight="1" s="85">
      <c r="A979" s="4" t="n"/>
      <c r="B979" s="4" t="n"/>
      <c r="C979" s="4" t="n"/>
    </row>
    <row r="980" ht="15.75" customHeight="1" s="85">
      <c r="A980" s="4" t="n"/>
      <c r="B980" s="4" t="n"/>
      <c r="C980" s="4" t="n"/>
    </row>
    <row r="981" ht="15.75" customHeight="1" s="85">
      <c r="A981" s="4" t="n"/>
      <c r="B981" s="4" t="n"/>
      <c r="C981" s="4" t="n"/>
    </row>
    <row r="982" ht="15.75" customHeight="1" s="85">
      <c r="A982" s="4" t="n"/>
      <c r="B982" s="4" t="n"/>
      <c r="C982" s="4" t="n"/>
    </row>
    <row r="983" ht="15.75" customHeight="1" s="85">
      <c r="A983" s="4" t="n"/>
      <c r="B983" s="4" t="n"/>
      <c r="C983" s="4" t="n"/>
    </row>
    <row r="984" ht="15.75" customHeight="1" s="85">
      <c r="A984" s="4" t="n"/>
      <c r="B984" s="4" t="n"/>
      <c r="C984" s="4" t="n"/>
    </row>
    <row r="985" ht="15.75" customHeight="1" s="85">
      <c r="A985" s="4" t="n"/>
      <c r="B985" s="4" t="n"/>
      <c r="C985" s="4" t="n"/>
    </row>
    <row r="986" ht="15.75" customHeight="1" s="85">
      <c r="A986" s="4" t="n"/>
      <c r="B986" s="4" t="n"/>
      <c r="C986" s="4" t="n"/>
    </row>
    <row r="987" ht="15.75" customHeight="1" s="85">
      <c r="A987" s="4" t="n"/>
      <c r="B987" s="4" t="n"/>
      <c r="C987" s="4" t="n"/>
    </row>
    <row r="988" ht="15.75" customHeight="1" s="85">
      <c r="A988" s="4" t="n"/>
      <c r="B988" s="4" t="n"/>
      <c r="C988" s="4" t="n"/>
    </row>
    <row r="989" ht="15.75" customHeight="1" s="85">
      <c r="A989" s="4" t="n"/>
      <c r="B989" s="4" t="n"/>
      <c r="C989" s="4" t="n"/>
    </row>
    <row r="990" ht="15.75" customHeight="1" s="85">
      <c r="A990" s="4" t="n"/>
      <c r="B990" s="4" t="n"/>
      <c r="C990" s="4" t="n"/>
    </row>
    <row r="991" ht="15.75" customHeight="1" s="85">
      <c r="A991" s="4" t="n"/>
      <c r="B991" s="4" t="n"/>
      <c r="C991" s="4" t="n"/>
    </row>
    <row r="992" ht="15.75" customHeight="1" s="85">
      <c r="A992" s="4" t="n"/>
      <c r="B992" s="4" t="n"/>
      <c r="C992" s="4" t="n"/>
    </row>
    <row r="993" ht="15.75" customHeight="1" s="85">
      <c r="A993" s="4" t="n"/>
      <c r="B993" s="4" t="n"/>
      <c r="C993" s="4" t="n"/>
    </row>
    <row r="994" ht="15.75" customHeight="1" s="85">
      <c r="A994" s="4" t="n"/>
      <c r="B994" s="4" t="n"/>
      <c r="C994" s="4" t="n"/>
    </row>
    <row r="995" ht="15.75" customHeight="1" s="85">
      <c r="A995" s="4" t="n"/>
      <c r="B995" s="4" t="n"/>
      <c r="C995" s="4" t="n"/>
    </row>
    <row r="996" ht="15.75" customHeight="1" s="85">
      <c r="A996" s="4" t="n"/>
      <c r="B996" s="4" t="n"/>
      <c r="C996" s="4" t="n"/>
    </row>
    <row r="997" ht="15.75" customHeight="1" s="85">
      <c r="A997" s="4" t="n"/>
      <c r="B997" s="4" t="n"/>
      <c r="C997" s="4" t="n"/>
    </row>
    <row r="998" ht="15.75" customHeight="1" s="85">
      <c r="A998" s="4" t="n"/>
      <c r="B998" s="4" t="n"/>
      <c r="C998" s="4" t="n"/>
    </row>
    <row r="999" ht="15.75" customHeight="1" s="85">
      <c r="A999" s="4" t="n"/>
      <c r="B999" s="4" t="n"/>
      <c r="C999" s="4" t="n"/>
    </row>
    <row r="1000" ht="15.75" customHeight="1" s="85">
      <c r="A1000" s="4" t="n"/>
      <c r="B1000" s="4" t="n"/>
      <c r="C1000" s="4" t="n"/>
    </row>
  </sheetData>
  <mergeCells count="6">
    <mergeCell ref="A13:C13"/>
    <mergeCell ref="A1:C1"/>
    <mergeCell ref="A22:C22"/>
    <mergeCell ref="A27:C27"/>
    <mergeCell ref="A3:C3"/>
    <mergeCell ref="A35:C35"/>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AQ1001"/>
  <sheetViews>
    <sheetView showGridLines="0"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4.43" defaultRowHeight="15" customHeight="1"/>
  <cols>
    <col width="6" customWidth="1" style="85" min="1" max="1"/>
    <col width="10" customWidth="1" style="85" min="2" max="2"/>
    <col width="5" customWidth="1" style="85" min="3" max="3"/>
    <col width="9" customWidth="1" style="85" min="4" max="4"/>
    <col width="8" customWidth="1" style="85" min="5" max="5"/>
    <col width="10" customWidth="1" style="85" min="6" max="7"/>
    <col width="9" customWidth="1" style="85" min="8" max="8"/>
    <col width="14" customWidth="1" style="85" min="9" max="10"/>
    <col width="13" customWidth="1" style="85" min="11" max="11"/>
    <col width="12" customWidth="1" style="85" min="12" max="12"/>
    <col width="14" customWidth="1" style="85" min="13" max="14"/>
    <col width="13" customWidth="1" style="85" min="15" max="15"/>
    <col width="12" customWidth="1" style="85" min="16" max="16"/>
    <col width="13" customWidth="1" style="85" min="17" max="18"/>
    <col width="12" customWidth="1" style="85" min="19" max="19"/>
    <col width="13" customWidth="1" style="85" min="20" max="20"/>
    <col width="13" customWidth="1" style="85" min="21" max="21"/>
    <col width="12" customWidth="1" style="85" min="22" max="22"/>
    <col width="13" customWidth="1" style="85" min="23" max="23"/>
    <col width="14" customWidth="1" style="85" min="24" max="24"/>
    <col width="13" customWidth="1" style="85" min="25" max="25"/>
    <col width="12" customWidth="1" style="85" min="26" max="26"/>
    <col width="14" customWidth="1" style="85" min="27" max="28"/>
    <col width="13" customWidth="1" style="85" min="29" max="30"/>
    <col width="14" customWidth="1" style="85" min="30" max="30"/>
    <col width="12" customWidth="1" style="85" min="31" max="31"/>
    <col width="13" customWidth="1" style="85" min="32" max="32"/>
    <col width="12" customWidth="1" style="85" min="33" max="33"/>
    <col width="13" customWidth="1" style="85" min="34" max="34"/>
    <col width="13" customWidth="1" style="85" min="35" max="35"/>
    <col width="12" customWidth="1" style="85" min="36" max="36"/>
    <col width="13" customWidth="1" style="85" min="37" max="37"/>
    <col width="26" customWidth="1" style="85" min="38" max="38"/>
    <col width="14" customWidth="1" style="85" min="39" max="39"/>
    <col width="12" customWidth="1" style="85" min="40" max="40"/>
    <col width="14" customWidth="1" style="85" min="41" max="41"/>
    <col width="14" customWidth="1" style="85" min="42" max="42"/>
    <col width="14" customWidth="1" style="85" min="43" max="43"/>
  </cols>
  <sheetData>
    <row r="1" ht="18" customHeight="1" s="85">
      <c r="A1" s="93" t="inlineStr">
        <is>
          <t>PERIOD</t>
        </is>
      </c>
      <c r="D1" s="93" t="inlineStr">
        <is>
          <t>PRACTICE GROWTH</t>
        </is>
      </c>
      <c r="G1" s="93" t="inlineStr">
        <is>
          <t>LOAN VOLUME</t>
        </is>
      </c>
      <c r="J1" s="93" t="inlineStr">
        <is>
          <t>LOAN PORTFOLIO</t>
        </is>
      </c>
      <c r="O1" s="93" t="inlineStr">
        <is>
          <t>REVENUE</t>
        </is>
      </c>
      <c r="R1" s="93" t="inlineStr">
        <is>
          <t>COSTS &amp; NET OP INCOME</t>
        </is>
      </c>
      <c r="U1" s="93" t="inlineStr">
        <is>
          <t>FUNDING</t>
        </is>
      </c>
      <c r="Y1" s="93" t="inlineStr">
        <is>
          <t>CAPITAL REQUIREMENTS</t>
        </is>
      </c>
      <c r="AD1" s="18" t="n"/>
      <c r="AE1" s="101" t="inlineStr">
        <is>
          <t>WAREHOUSE FACILITY, CASH SWEEP &amp; RAISE TRIGGER</t>
        </is>
      </c>
      <c r="AO1" s="133" t="inlineStr">
        <is>
          <t>BANK PARTNERSHIP (WEBBANK)</t>
        </is>
      </c>
    </row>
    <row r="2" ht="33.75" customHeight="1" s="85">
      <c r="A2" s="20" t="inlineStr">
        <is>
          <t>Mo#</t>
        </is>
      </c>
      <c r="B2" s="20" t="inlineStr">
        <is>
          <t>Date</t>
        </is>
      </c>
      <c r="C2" s="20" t="inlineStr">
        <is>
          <t>Yr</t>
        </is>
      </c>
      <c r="D2" s="20" t="inlineStr">
        <is>
          <t>New
Practices</t>
        </is>
      </c>
      <c r="E2" s="20" t="inlineStr">
        <is>
          <t>Churned
Practices</t>
        </is>
      </c>
      <c r="F2" s="20" t="inlineStr">
        <is>
          <t>Active
Practices</t>
        </is>
      </c>
      <c r="G2" s="20" t="inlineStr">
        <is>
          <t>Monthly
Referrals</t>
        </is>
      </c>
      <c r="H2" s="20" t="inlineStr">
        <is>
          <t>Approved
Loans</t>
        </is>
      </c>
      <c r="I2" s="20" t="inlineStr">
        <is>
          <t>Originations —
Your Share ($)</t>
        </is>
      </c>
      <c r="J2" s="20" t="inlineStr">
        <is>
          <t>Beg Portfolio
($)</t>
        </is>
      </c>
      <c r="K2" s="20" t="inlineStr">
        <is>
          <t>Repayments
($)</t>
        </is>
      </c>
      <c r="L2" s="20" t="inlineStr">
        <is>
          <t>Charge-offs
($)</t>
        </is>
      </c>
      <c r="M2" s="20" t="inlineStr">
        <is>
          <t>End Portfolio
($)</t>
        </is>
      </c>
      <c r="N2" s="20" t="inlineStr">
        <is>
          <t>Avg Portfolio
($)</t>
        </is>
      </c>
      <c r="O2" s="20" t="inlineStr">
        <is>
          <t>Interest
Income ($)</t>
        </is>
      </c>
      <c r="P2" s="20" t="inlineStr">
        <is>
          <t>Orig Fees
($)</t>
        </is>
      </c>
      <c r="Q2" s="20" t="inlineStr">
        <is>
          <t>Total
Revenue ($)</t>
        </is>
      </c>
      <c r="R2" s="20" t="inlineStr">
        <is>
          <t>Opex
($)</t>
        </is>
      </c>
      <c r="S2" s="20" t="inlineStr">
        <is>
          <t>Provision
($)</t>
        </is>
      </c>
      <c r="T2" s="20" t="inlineStr">
        <is>
          <t>Net Op
Income ($)</t>
        </is>
      </c>
      <c r="U2" s="20" t="inlineStr">
        <is>
          <t>End Debt
Balance ($)</t>
        </is>
      </c>
      <c r="V2" s="20" t="inlineStr">
        <is>
          <t>Interest
Expense ($)</t>
        </is>
      </c>
      <c r="W2" s="20" t="inlineStr">
        <is>
          <t>Net
Income ($)</t>
        </is>
      </c>
      <c r="X2" s="20" t="inlineStr">
        <is>
          <t>Cum Net
Income ($)</t>
        </is>
      </c>
      <c r="Y2" s="20" t="inlineStr">
        <is>
          <t>Portfolio
Equity ($)</t>
        </is>
      </c>
      <c r="Z2" s="20" t="inlineStr">
        <is>
          <t>Cash
Buffer ($)</t>
        </is>
      </c>
      <c r="AA2" s="20" t="inlineStr">
        <is>
          <t>Total Equity
Required ($)</t>
        </is>
      </c>
      <c r="AB2" s="20" t="inlineStr">
        <is>
          <t>Peak Equity
Required ($)</t>
        </is>
      </c>
      <c r="AC2" s="20" t="inlineStr">
        <is>
          <t>Raise
Triggered ($)</t>
        </is>
      </c>
      <c r="AD2" s="28" t="inlineStr">
        <is>
          <t>End Cash &amp;
Investments ($)</t>
        </is>
      </c>
      <c r="AE2" s="28" t="inlineStr">
        <is>
          <t>Facility
Limit ($)</t>
        </is>
      </c>
      <c r="AF2" s="28" t="inlineStr">
        <is>
          <t>Debt Draw /
(Repay) ($)</t>
        </is>
      </c>
      <c r="AG2" s="28" t="inlineStr">
        <is>
          <t>Facility
Utilization (%)</t>
        </is>
      </c>
      <c r="AH2" s="28" t="inlineStr">
        <is>
          <t>Facility Increase
This Month ($)</t>
        </is>
      </c>
      <c r="AI2" s="28" t="inlineStr">
        <is>
          <t>Investable
Excess Cash ($)</t>
        </is>
      </c>
      <c r="AJ2" s="28" t="inlineStr">
        <is>
          <t>Investment
Income ($)</t>
        </is>
      </c>
      <c r="AK2" s="28" t="inlineStr">
        <is>
          <t>Cash Before
Raise ($)</t>
        </is>
      </c>
      <c r="AL2" s="28" t="inlineStr">
        <is>
          <t>Recommended
Action</t>
        </is>
      </c>
      <c r="AM2" s="28" t="inlineStr">
        <is>
          <t>Net CF ex-Raise,
ex-Invest Inc ($)</t>
        </is>
      </c>
      <c r="AN2" s="28" t="inlineStr">
        <is>
          <t>Cumulative
Loans Funded</t>
        </is>
      </c>
      <c r="AO2" s="28" t="inlineStr">
        <is>
          <t>Gross Program
Originations ($)</t>
        </is>
      </c>
      <c r="AP2" s="28" t="inlineStr">
        <is>
          <t>Bank Partnership
Costs ($)</t>
        </is>
      </c>
      <c r="AQ2" s="28" t="inlineStr">
        <is>
          <t>Est. Bank's Retained
Interest &amp; Fees ($)</t>
        </is>
      </c>
    </row>
    <row r="3" ht="15" customHeight="1" s="85">
      <c r="A3" s="46" t="n">
        <v>0</v>
      </c>
      <c r="B3" s="32" t="n"/>
      <c r="C3" s="47" t="n">
        <v>0</v>
      </c>
      <c r="D3" s="36" t="n"/>
      <c r="E3" s="37" t="n"/>
      <c r="F3" s="36" t="n"/>
      <c r="G3" s="36" t="n"/>
      <c r="H3" s="36" t="n"/>
      <c r="I3" s="38" t="n"/>
      <c r="J3" s="39" t="n"/>
      <c r="K3" s="40" t="n"/>
      <c r="L3" s="40" t="n"/>
      <c r="M3" s="41" t="n"/>
      <c r="N3" s="40" t="n"/>
      <c r="O3" s="38" t="n"/>
      <c r="P3" s="38" t="n"/>
      <c r="Q3" s="41" t="n"/>
      <c r="R3" s="38" t="n"/>
      <c r="S3" s="40" t="n"/>
      <c r="T3" s="40" t="n"/>
      <c r="U3" s="40" t="n">
        <v>0</v>
      </c>
      <c r="V3" s="38" t="n"/>
      <c r="W3" s="41" t="n"/>
      <c r="X3" s="40" t="n"/>
      <c r="Y3" s="40" t="n"/>
      <c r="Z3" s="38" t="n"/>
      <c r="AA3" s="41" t="n"/>
      <c r="AB3" s="40" t="n"/>
      <c r="AC3" s="43" t="n"/>
      <c r="AD3" s="45">
        <f>Assumptions!B36</f>
        <v/>
      </c>
      <c r="AE3" s="102">
        <f>Assumptions!$B$44</f>
        <v/>
      </c>
    </row>
    <row r="4" ht="15" customHeight="1" s="85">
      <c r="A4" s="46" t="n">
        <v>1</v>
      </c>
      <c r="B4" s="32">
        <f>EDATE(Assumptions!$B$4,0)</f>
        <v/>
      </c>
      <c r="C4" s="47">
        <f>INT((A4-1)/12)+1</f>
        <v/>
      </c>
      <c r="D4" s="36">
        <f>IF(C4=1,Assumptions!$B$6,IF(C4=2,Assumptions!$B$7,IF(C4=3,Assumptions!$B$8,IF(C4=4,Assumptions!$B$9,Assumptions!$B$10))))</f>
        <v/>
      </c>
      <c r="E4" s="37" t="n">
        <v>0</v>
      </c>
      <c r="F4" s="36">
        <f>Assumptions!B5</f>
        <v/>
      </c>
      <c r="G4" s="36">
        <f>ROUND(F4*Assumptions!$B$14*(365/12/7),0)</f>
        <v/>
      </c>
      <c r="H4" s="36">
        <f>ROUND(G4*Assumptions!$B$15,0)</f>
        <v/>
      </c>
      <c r="I4" s="38">
        <f>AO4*(1-Assumptions!$B$61)</f>
        <v/>
      </c>
      <c r="J4" s="39" t="n">
        <v>0</v>
      </c>
      <c r="K4" s="40">
        <f>IFERROR(J4/Assumptions!$B$17,0)</f>
        <v/>
      </c>
      <c r="L4" s="40">
        <f>J4*Assumptions!$B$20/12</f>
        <v/>
      </c>
      <c r="M4" s="41">
        <f>MAX(J4+I4-K4-L4,0)</f>
        <v/>
      </c>
      <c r="N4" s="40">
        <f>(J4+M4)/2</f>
        <v/>
      </c>
      <c r="O4" s="38">
        <f>N4*Assumptions!$B$18/12</f>
        <v/>
      </c>
      <c r="P4" s="38">
        <f>I4*Assumptions!$B$19</f>
        <v/>
      </c>
      <c r="Q4" s="41">
        <f>O4+P4</f>
        <v/>
      </c>
      <c r="R4" s="38">
        <f>Assumptions!$B$33*(1+Assumptions!$B$34)^(C4-1)/12</f>
        <v/>
      </c>
      <c r="S4" s="40">
        <f>L4</f>
        <v/>
      </c>
      <c r="T4" s="40">
        <f>Q4-R4-S4-AP4</f>
        <v/>
      </c>
      <c r="U4" s="40">
        <f>MIN(AE4,M4*Assumptions!$B$24/(1+Assumptions!$B$24))</f>
        <v/>
      </c>
      <c r="V4" s="38">
        <f>((U4+U3)/2)*Assumptions!$B$23/12</f>
        <v/>
      </c>
      <c r="W4" s="41">
        <f>T4-V4+AJ4</f>
        <v/>
      </c>
      <c r="X4" s="40">
        <f>W4</f>
        <v/>
      </c>
      <c r="Y4" s="40">
        <f>MAX(M4-U4,0)</f>
        <v/>
      </c>
      <c r="Z4" s="38">
        <f>R4*Assumptions!$B$25</f>
        <v/>
      </c>
      <c r="AA4" s="41">
        <f>Y4+Z4</f>
        <v/>
      </c>
      <c r="AB4" s="40">
        <f>AA4</f>
        <v/>
      </c>
      <c r="AC4" s="41">
        <f>MAX(0,MAX(Z4-AD3-AM4,Z5-AD3-SUM(AM4:AM5),Z6-AD3-SUM(AM4:AM6),Z7-AD3-SUM(AM4:AM7),Z8-AD3-SUM(AM4:AM8),Z9-AD3-SUM(AM4:AM9),Z10-AD3-SUM(AM4:AM10),Z11-AD3-SUM(AM4:AM11),Z12-AD3-SUM(AM4:AM12),Z13-AD3-SUM(AM4:AM13),Z14-AD3-SUM(AM4:AM14),Z15-AD3-SUM(AM4:AM15)))</f>
        <v/>
      </c>
      <c r="AD4" s="41">
        <f>AK4+AC4</f>
        <v/>
      </c>
      <c r="AE4" s="102">
        <f>IF(SUM($H$4:H4)&lt;Assumptions!$B$57,0,MAX(MAX(Assumptions!$B$44,AE3),IF(M4*Assumptions!$B$24/(1+Assumptions!$B$24)&gt;MAX(Assumptions!$B$44,AE3)*Assumptions!$B$53,M4*Assumptions!$B$24/(1+Assumptions!$B$24)/Assumptions!$B$54,MAX(Assumptions!$B$44,AE3))))</f>
        <v/>
      </c>
      <c r="AF4" s="102">
        <f>U4-U3</f>
        <v/>
      </c>
      <c r="AG4" s="103">
        <f>IFERROR(U4/AE4,0)</f>
        <v/>
      </c>
      <c r="AH4" s="102">
        <f>MAX(0,AE4-AE3)</f>
        <v/>
      </c>
      <c r="AI4" s="102">
        <f>MAX(AD3-Z4,0)</f>
        <v/>
      </c>
      <c r="AJ4" s="102">
        <f>AI4*Assumptions!$B$46/12</f>
        <v/>
      </c>
      <c r="AK4" s="102">
        <f>AD3+Q4-R4-I4+K4+AF4-V4+AJ4-AP4</f>
        <v/>
      </c>
      <c r="AL4" s="104">
        <f>TRIM(IF(AH4&gt;0,"Increase warehouse facility to $"&amp;TEXT(AE4,"#,##0")&amp;" (from $"&amp;TEXT(AE3,"#,##0")&amp;"). ","")&amp;IF(AC4&gt;0,"Raise ~$"&amp;TEXT(AC4,"#,##0")&amp;" of equity — annual raise, funds the next 12 months.",""))</f>
        <v/>
      </c>
      <c r="AM4" s="102">
        <f>Q4-R4-I4+K4+AF4-V4-AP4</f>
        <v/>
      </c>
      <c r="AN4" s="132">
        <f>SUM($H$4:H4)</f>
        <v/>
      </c>
      <c r="AO4" s="102">
        <f>H4*Assumptions!$B$16</f>
        <v/>
      </c>
      <c r="AP4" s="102">
        <f>MAX(AO4*Assumptions!$B$62,Assumptions!$B$63)+Assumptions!$B$64/12</f>
        <v/>
      </c>
      <c r="AQ4" s="102">
        <f>(O4+P4)*Assumptions!$B$61/(1-Assumptions!$B$61)</f>
        <v/>
      </c>
    </row>
    <row r="5" ht="15" customHeight="1" s="85">
      <c r="A5" s="58" t="n">
        <v>2</v>
      </c>
      <c r="B5" s="59">
        <f>EDATE(Assumptions!$B$4,1)</f>
        <v/>
      </c>
      <c r="C5" s="66">
        <f>INT((A5-1)/12)+1</f>
        <v/>
      </c>
      <c r="D5" s="62">
        <f>IF(C5=1,Assumptions!$B$6,IF(C5=2,Assumptions!$B$7,IF(C5=3,Assumptions!$B$8,IF(C5=4,Assumptions!$B$9,Assumptions!$B$10))))</f>
        <v/>
      </c>
      <c r="E5" s="62">
        <f>ROUND(F4*Assumptions!$B$11,0)</f>
        <v/>
      </c>
      <c r="F5" s="62">
        <f>F4+1</f>
        <v/>
      </c>
      <c r="G5" s="62">
        <f>ROUND(F5*Assumptions!$B$14*(365/12/7),0)</f>
        <v/>
      </c>
      <c r="H5" s="62">
        <f>ROUND(G5*Assumptions!$B$15,0)</f>
        <v/>
      </c>
      <c r="I5" s="63">
        <f>AO5*(1-Assumptions!$B$61)</f>
        <v/>
      </c>
      <c r="J5" s="63">
        <f>M4</f>
        <v/>
      </c>
      <c r="K5" s="68">
        <f>IFERROR(J5/Assumptions!$B$17,0)</f>
        <v/>
      </c>
      <c r="L5" s="68">
        <f>J5*Assumptions!$B$20/12</f>
        <v/>
      </c>
      <c r="M5" s="67">
        <f>MAX(J5+I5-K5-L5,0)</f>
        <v/>
      </c>
      <c r="N5" s="68">
        <f>(J5+M5)/2</f>
        <v/>
      </c>
      <c r="O5" s="63">
        <f>N5*Assumptions!$B$18/12</f>
        <v/>
      </c>
      <c r="P5" s="63">
        <f>I5*Assumptions!$B$19</f>
        <v/>
      </c>
      <c r="Q5" s="67">
        <f>O5+P5</f>
        <v/>
      </c>
      <c r="R5" s="63">
        <f>Assumptions!$B$33*(1+Assumptions!$B$34)^(C5-1)/12</f>
        <v/>
      </c>
      <c r="S5" s="68">
        <f>L5</f>
        <v/>
      </c>
      <c r="T5" s="68">
        <f>Q5-R5-S5-AP5</f>
        <v/>
      </c>
      <c r="U5" s="68">
        <f>MIN(AE5,M5*Assumptions!$B$24/(1+Assumptions!$B$24))</f>
        <v/>
      </c>
      <c r="V5" s="63">
        <f>((U5+U4)/2)*Assumptions!$B$23/12</f>
        <v/>
      </c>
      <c r="W5" s="67">
        <f>T5-V5+AJ5</f>
        <v/>
      </c>
      <c r="X5" s="68">
        <f>X4+W5</f>
        <v/>
      </c>
      <c r="Y5" s="68">
        <f>MAX(M5-U5,0)</f>
        <v/>
      </c>
      <c r="Z5" s="63">
        <f>R5*Assumptions!$B$25</f>
        <v/>
      </c>
      <c r="AA5" s="67">
        <f>Y5+Z5</f>
        <v/>
      </c>
      <c r="AB5" s="68">
        <f>MAX(AB4,AA5)</f>
        <v/>
      </c>
      <c r="AC5" s="67" t="n">
        <v>0</v>
      </c>
      <c r="AD5" s="67">
        <f>AK5+AC5</f>
        <v/>
      </c>
      <c r="AE5" s="102">
        <f>IF(SUM($H$4:H5)&lt;Assumptions!$B$57,0,MAX(MAX(Assumptions!$B$44,AE4),IF(M5*Assumptions!$B$24/(1+Assumptions!$B$24)&gt;MAX(Assumptions!$B$44,AE4)*Assumptions!$B$53,M5*Assumptions!$B$24/(1+Assumptions!$B$24)/Assumptions!$B$54,MAX(Assumptions!$B$44,AE4))))</f>
        <v/>
      </c>
      <c r="AF5" s="102">
        <f>U5-U4</f>
        <v/>
      </c>
      <c r="AG5" s="103">
        <f>IFERROR(U5/AE5,0)</f>
        <v/>
      </c>
      <c r="AH5" s="102">
        <f>MAX(0,AE5-AE4)</f>
        <v/>
      </c>
      <c r="AI5" s="102">
        <f>MAX(AD4-Z5,0)</f>
        <v/>
      </c>
      <c r="AJ5" s="102">
        <f>AI5*Assumptions!$B$46/12</f>
        <v/>
      </c>
      <c r="AK5" s="102">
        <f>AD4+Q5-R5-I5+K5+AF5-V5+AJ5-AP5</f>
        <v/>
      </c>
      <c r="AL5" s="104">
        <f>TRIM(IF(AH5&gt;0,"Increase warehouse facility to $"&amp;TEXT(AE5,"#,##0")&amp;" (from $"&amp;TEXT(AE4,"#,##0")&amp;"). ","")&amp;IF(AC5&gt;0,"Raise ~$"&amp;TEXT(AC5,"#,##0")&amp;" of equity — annual raise, funds the next 12 months.",""))</f>
        <v/>
      </c>
      <c r="AM5" s="102">
        <f>Q5-R5-I5+K5+AF5-V5-AP5</f>
        <v/>
      </c>
      <c r="AN5" s="132">
        <f>SUM($H$4:H5)</f>
        <v/>
      </c>
      <c r="AO5" s="102">
        <f>H5*Assumptions!$B$16</f>
        <v/>
      </c>
      <c r="AP5" s="102">
        <f>MAX(AO5*Assumptions!$B$62,Assumptions!$B$63)+Assumptions!$B$64/12</f>
        <v/>
      </c>
      <c r="AQ5" s="102">
        <f>(O5+P5)*Assumptions!$B$61/(1-Assumptions!$B$61)</f>
        <v/>
      </c>
    </row>
    <row r="6" ht="15" customHeight="1" s="85">
      <c r="A6" s="46" t="n">
        <v>3</v>
      </c>
      <c r="B6" s="32">
        <f>EDATE(Assumptions!$B$4,2)</f>
        <v/>
      </c>
      <c r="C6" s="47">
        <f>INT((A6-1)/12)+1</f>
        <v/>
      </c>
      <c r="D6" s="36">
        <f>IF(C6=1,Assumptions!$B$6,IF(C6=2,Assumptions!$B$7,IF(C6=3,Assumptions!$B$8,IF(C6=4,Assumptions!$B$9,Assumptions!$B$10))))</f>
        <v/>
      </c>
      <c r="E6" s="36">
        <f>ROUND(F5*Assumptions!$B$11,0)</f>
        <v/>
      </c>
      <c r="F6" s="36">
        <f>F5+1</f>
        <v/>
      </c>
      <c r="G6" s="36">
        <f>ROUND(F6*Assumptions!$B$14*(365/12/7),0)</f>
        <v/>
      </c>
      <c r="H6" s="36">
        <f>ROUND(G6*Assumptions!$B$15,0)</f>
        <v/>
      </c>
      <c r="I6" s="38">
        <f>AO6*(1-Assumptions!$B$61)</f>
        <v/>
      </c>
      <c r="J6" s="38">
        <f>M5</f>
        <v/>
      </c>
      <c r="K6" s="40">
        <f>IFERROR(J6/Assumptions!$B$17,0)</f>
        <v/>
      </c>
      <c r="L6" s="40">
        <f>J6*Assumptions!$B$20/12</f>
        <v/>
      </c>
      <c r="M6" s="41">
        <f>MAX(J6+I6-K6-L6,0)</f>
        <v/>
      </c>
      <c r="N6" s="40">
        <f>(J6+M6)/2</f>
        <v/>
      </c>
      <c r="O6" s="38">
        <f>N6*Assumptions!$B$18/12</f>
        <v/>
      </c>
      <c r="P6" s="38">
        <f>I6*Assumptions!$B$19</f>
        <v/>
      </c>
      <c r="Q6" s="41">
        <f>O6+P6</f>
        <v/>
      </c>
      <c r="R6" s="38">
        <f>Assumptions!$B$33*(1+Assumptions!$B$34)^(C6-1)/12</f>
        <v/>
      </c>
      <c r="S6" s="40">
        <f>L6</f>
        <v/>
      </c>
      <c r="T6" s="40">
        <f>Q6-R6-S6-AP6</f>
        <v/>
      </c>
      <c r="U6" s="40">
        <f>MIN(AE6,M6*Assumptions!$B$24/(1+Assumptions!$B$24))</f>
        <v/>
      </c>
      <c r="V6" s="38">
        <f>((U6+U5)/2)*Assumptions!$B$23/12</f>
        <v/>
      </c>
      <c r="W6" s="41">
        <f>T6-V6+AJ6</f>
        <v/>
      </c>
      <c r="X6" s="40">
        <f>X5+W6</f>
        <v/>
      </c>
      <c r="Y6" s="40">
        <f>MAX(M6-U6,0)</f>
        <v/>
      </c>
      <c r="Z6" s="38">
        <f>R6*Assumptions!$B$25</f>
        <v/>
      </c>
      <c r="AA6" s="41">
        <f>Y6+Z6</f>
        <v/>
      </c>
      <c r="AB6" s="40">
        <f>MAX(AB5,AA6)</f>
        <v/>
      </c>
      <c r="AC6" s="41" t="n">
        <v>0</v>
      </c>
      <c r="AD6" s="41">
        <f>AK6+AC6</f>
        <v/>
      </c>
      <c r="AE6" s="102">
        <f>IF(SUM($H$4:H6)&lt;Assumptions!$B$57,0,MAX(MAX(Assumptions!$B$44,AE5),IF(M6*Assumptions!$B$24/(1+Assumptions!$B$24)&gt;MAX(Assumptions!$B$44,AE5)*Assumptions!$B$53,M6*Assumptions!$B$24/(1+Assumptions!$B$24)/Assumptions!$B$54,MAX(Assumptions!$B$44,AE5))))</f>
        <v/>
      </c>
      <c r="AF6" s="102">
        <f>U6-U5</f>
        <v/>
      </c>
      <c r="AG6" s="103">
        <f>IFERROR(U6/AE6,0)</f>
        <v/>
      </c>
      <c r="AH6" s="102">
        <f>MAX(0,AE6-AE5)</f>
        <v/>
      </c>
      <c r="AI6" s="102">
        <f>MAX(AD5-Z6,0)</f>
        <v/>
      </c>
      <c r="AJ6" s="102">
        <f>AI6*Assumptions!$B$46/12</f>
        <v/>
      </c>
      <c r="AK6" s="102">
        <f>AD5+Q6-R6-I6+K6+AF6-V6+AJ6-AP6</f>
        <v/>
      </c>
      <c r="AL6" s="104">
        <f>TRIM(IF(AH6&gt;0,"Increase warehouse facility to $"&amp;TEXT(AE6,"#,##0")&amp;" (from $"&amp;TEXT(AE5,"#,##0")&amp;"). ","")&amp;IF(AC6&gt;0,"Raise ~$"&amp;TEXT(AC6,"#,##0")&amp;" of equity — annual raise, funds the next 12 months.",""))</f>
        <v/>
      </c>
      <c r="AM6" s="102">
        <f>Q6-R6-I6+K6+AF6-V6-AP6</f>
        <v/>
      </c>
      <c r="AN6" s="132">
        <f>SUM($H$4:H6)</f>
        <v/>
      </c>
      <c r="AO6" s="102">
        <f>H6*Assumptions!$B$16</f>
        <v/>
      </c>
      <c r="AP6" s="102">
        <f>MAX(AO6*Assumptions!$B$62,Assumptions!$B$63)+Assumptions!$B$64/12</f>
        <v/>
      </c>
      <c r="AQ6" s="102">
        <f>(O6+P6)*Assumptions!$B$61/(1-Assumptions!$B$61)</f>
        <v/>
      </c>
    </row>
    <row r="7" ht="15" customHeight="1" s="85">
      <c r="A7" s="58" t="n">
        <v>4</v>
      </c>
      <c r="B7" s="59">
        <f>EDATE(Assumptions!$B$4,3)</f>
        <v/>
      </c>
      <c r="C7" s="66">
        <f>INT((A7-1)/12)+1</f>
        <v/>
      </c>
      <c r="D7" s="62">
        <f>IF(C7=1,Assumptions!$B$6,IF(C7=2,Assumptions!$B$7,IF(C7=3,Assumptions!$B$8,IF(C7=4,Assumptions!$B$9,Assumptions!$B$10))))</f>
        <v/>
      </c>
      <c r="E7" s="62">
        <f>ROUND(F6*Assumptions!$B$11,0)</f>
        <v/>
      </c>
      <c r="F7" s="62">
        <f>F6+1</f>
        <v/>
      </c>
      <c r="G7" s="62">
        <f>ROUND(F7*Assumptions!$B$14*(365/12/7),0)</f>
        <v/>
      </c>
      <c r="H7" s="62">
        <f>ROUND(G7*Assumptions!$B$15,0)</f>
        <v/>
      </c>
      <c r="I7" s="63">
        <f>AO7*(1-Assumptions!$B$61)</f>
        <v/>
      </c>
      <c r="J7" s="63">
        <f>M6</f>
        <v/>
      </c>
      <c r="K7" s="68">
        <f>IFERROR(J7/Assumptions!$B$17,0)</f>
        <v/>
      </c>
      <c r="L7" s="68">
        <f>J7*Assumptions!$B$20/12</f>
        <v/>
      </c>
      <c r="M7" s="67">
        <f>MAX(J7+I7-K7-L7,0)</f>
        <v/>
      </c>
      <c r="N7" s="68">
        <f>(J7+M7)/2</f>
        <v/>
      </c>
      <c r="O7" s="63">
        <f>N7*Assumptions!$B$18/12</f>
        <v/>
      </c>
      <c r="P7" s="63">
        <f>I7*Assumptions!$B$19</f>
        <v/>
      </c>
      <c r="Q7" s="67">
        <f>O7+P7</f>
        <v/>
      </c>
      <c r="R7" s="63">
        <f>Assumptions!$B$33*(1+Assumptions!$B$34)^(C7-1)/12</f>
        <v/>
      </c>
      <c r="S7" s="68">
        <f>L7</f>
        <v/>
      </c>
      <c r="T7" s="68">
        <f>Q7-R7-S7-AP7</f>
        <v/>
      </c>
      <c r="U7" s="68">
        <f>MIN(AE7,M7*Assumptions!$B$24/(1+Assumptions!$B$24))</f>
        <v/>
      </c>
      <c r="V7" s="63">
        <f>((U7+U6)/2)*Assumptions!$B$23/12</f>
        <v/>
      </c>
      <c r="W7" s="67">
        <f>T7-V7+AJ7</f>
        <v/>
      </c>
      <c r="X7" s="68">
        <f>X6+W7</f>
        <v/>
      </c>
      <c r="Y7" s="68">
        <f>MAX(M7-U7,0)</f>
        <v/>
      </c>
      <c r="Z7" s="63">
        <f>R7*Assumptions!$B$25</f>
        <v/>
      </c>
      <c r="AA7" s="67">
        <f>Y7+Z7</f>
        <v/>
      </c>
      <c r="AB7" s="68">
        <f>MAX(AB6,AA7)</f>
        <v/>
      </c>
      <c r="AC7" s="67" t="n">
        <v>0</v>
      </c>
      <c r="AD7" s="67">
        <f>AK7+AC7</f>
        <v/>
      </c>
      <c r="AE7" s="102">
        <f>IF(SUM($H$4:H7)&lt;Assumptions!$B$57,0,MAX(MAX(Assumptions!$B$44,AE6),IF(M7*Assumptions!$B$24/(1+Assumptions!$B$24)&gt;MAX(Assumptions!$B$44,AE6)*Assumptions!$B$53,M7*Assumptions!$B$24/(1+Assumptions!$B$24)/Assumptions!$B$54,MAX(Assumptions!$B$44,AE6))))</f>
        <v/>
      </c>
      <c r="AF7" s="102">
        <f>U7-U6</f>
        <v/>
      </c>
      <c r="AG7" s="103">
        <f>IFERROR(U7/AE7,0)</f>
        <v/>
      </c>
      <c r="AH7" s="102">
        <f>MAX(0,AE7-AE6)</f>
        <v/>
      </c>
      <c r="AI7" s="102">
        <f>MAX(AD6-Z7,0)</f>
        <v/>
      </c>
      <c r="AJ7" s="102">
        <f>AI7*Assumptions!$B$46/12</f>
        <v/>
      </c>
      <c r="AK7" s="102">
        <f>AD6+Q7-R7-I7+K7+AF7-V7+AJ7-AP7</f>
        <v/>
      </c>
      <c r="AL7" s="104">
        <f>TRIM(IF(AH7&gt;0,"Increase warehouse facility to $"&amp;TEXT(AE7,"#,##0")&amp;" (from $"&amp;TEXT(AE6,"#,##0")&amp;"). ","")&amp;IF(AC7&gt;0,"Raise ~$"&amp;TEXT(AC7,"#,##0")&amp;" of equity — annual raise, funds the next 12 months.",""))</f>
        <v/>
      </c>
      <c r="AM7" s="102">
        <f>Q7-R7-I7+K7+AF7-V7-AP7</f>
        <v/>
      </c>
      <c r="AN7" s="132">
        <f>SUM($H$4:H7)</f>
        <v/>
      </c>
      <c r="AO7" s="102">
        <f>H7*Assumptions!$B$16</f>
        <v/>
      </c>
      <c r="AP7" s="102">
        <f>MAX(AO7*Assumptions!$B$62,Assumptions!$B$63)+Assumptions!$B$64/12</f>
        <v/>
      </c>
      <c r="AQ7" s="102">
        <f>(O7+P7)*Assumptions!$B$61/(1-Assumptions!$B$61)</f>
        <v/>
      </c>
    </row>
    <row r="8" ht="15" customHeight="1" s="85">
      <c r="A8" s="46" t="n">
        <v>5</v>
      </c>
      <c r="B8" s="32">
        <f>EDATE(Assumptions!$B$4,4)</f>
        <v/>
      </c>
      <c r="C8" s="47">
        <f>INT((A8-1)/12)+1</f>
        <v/>
      </c>
      <c r="D8" s="36">
        <f>IF(C8=1,Assumptions!$B$6,IF(C8=2,Assumptions!$B$7,IF(C8=3,Assumptions!$B$8,IF(C8=4,Assumptions!$B$9,Assumptions!$B$10))))</f>
        <v/>
      </c>
      <c r="E8" s="36">
        <f>ROUND(F7*Assumptions!$B$11,0)</f>
        <v/>
      </c>
      <c r="F8" s="36">
        <f>F7+1</f>
        <v/>
      </c>
      <c r="G8" s="36">
        <f>ROUND(F8*Assumptions!$B$14*(365/12/7),0)</f>
        <v/>
      </c>
      <c r="H8" s="36">
        <f>ROUND(G8*Assumptions!$B$15,0)</f>
        <v/>
      </c>
      <c r="I8" s="38">
        <f>AO8*(1-Assumptions!$B$61)</f>
        <v/>
      </c>
      <c r="J8" s="38">
        <f>M7</f>
        <v/>
      </c>
      <c r="K8" s="40">
        <f>IFERROR(J8/Assumptions!$B$17,0)</f>
        <v/>
      </c>
      <c r="L8" s="40">
        <f>J8*Assumptions!$B$20/12</f>
        <v/>
      </c>
      <c r="M8" s="41">
        <f>MAX(J8+I8-K8-L8,0)</f>
        <v/>
      </c>
      <c r="N8" s="40">
        <f>(J8+M8)/2</f>
        <v/>
      </c>
      <c r="O8" s="38">
        <f>N8*Assumptions!$B$18/12</f>
        <v/>
      </c>
      <c r="P8" s="38">
        <f>I8*Assumptions!$B$19</f>
        <v/>
      </c>
      <c r="Q8" s="41">
        <f>O8+P8</f>
        <v/>
      </c>
      <c r="R8" s="38">
        <f>Assumptions!$B$33*(1+Assumptions!$B$34)^(C8-1)/12</f>
        <v/>
      </c>
      <c r="S8" s="40">
        <f>L8</f>
        <v/>
      </c>
      <c r="T8" s="40">
        <f>Q8-R8-S8-AP8</f>
        <v/>
      </c>
      <c r="U8" s="40">
        <f>MIN(AE8,M8*Assumptions!$B$24/(1+Assumptions!$B$24))</f>
        <v/>
      </c>
      <c r="V8" s="38">
        <f>((U8+U7)/2)*Assumptions!$B$23/12</f>
        <v/>
      </c>
      <c r="W8" s="41">
        <f>T8-V8+AJ8</f>
        <v/>
      </c>
      <c r="X8" s="40">
        <f>X7+W8</f>
        <v/>
      </c>
      <c r="Y8" s="40">
        <f>MAX(M8-U8,0)</f>
        <v/>
      </c>
      <c r="Z8" s="38">
        <f>R8*Assumptions!$B$25</f>
        <v/>
      </c>
      <c r="AA8" s="41">
        <f>Y8+Z8</f>
        <v/>
      </c>
      <c r="AB8" s="40">
        <f>MAX(AB7,AA8)</f>
        <v/>
      </c>
      <c r="AC8" s="41" t="n">
        <v>0</v>
      </c>
      <c r="AD8" s="41">
        <f>AK8+AC8</f>
        <v/>
      </c>
      <c r="AE8" s="102">
        <f>IF(SUM($H$4:H8)&lt;Assumptions!$B$57,0,MAX(MAX(Assumptions!$B$44,AE7),IF(M8*Assumptions!$B$24/(1+Assumptions!$B$24)&gt;MAX(Assumptions!$B$44,AE7)*Assumptions!$B$53,M8*Assumptions!$B$24/(1+Assumptions!$B$24)/Assumptions!$B$54,MAX(Assumptions!$B$44,AE7))))</f>
        <v/>
      </c>
      <c r="AF8" s="102">
        <f>U8-U7</f>
        <v/>
      </c>
      <c r="AG8" s="103">
        <f>IFERROR(U8/AE8,0)</f>
        <v/>
      </c>
      <c r="AH8" s="102">
        <f>MAX(0,AE8-AE7)</f>
        <v/>
      </c>
      <c r="AI8" s="102">
        <f>MAX(AD7-Z8,0)</f>
        <v/>
      </c>
      <c r="AJ8" s="102">
        <f>AI8*Assumptions!$B$46/12</f>
        <v/>
      </c>
      <c r="AK8" s="102">
        <f>AD7+Q8-R8-I8+K8+AF8-V8+AJ8-AP8</f>
        <v/>
      </c>
      <c r="AL8" s="104">
        <f>TRIM(IF(AH8&gt;0,"Increase warehouse facility to $"&amp;TEXT(AE8,"#,##0")&amp;" (from $"&amp;TEXT(AE7,"#,##0")&amp;"). ","")&amp;IF(AC8&gt;0,"Raise ~$"&amp;TEXT(AC8,"#,##0")&amp;" of equity — annual raise, funds the next 12 months.",""))</f>
        <v/>
      </c>
      <c r="AM8" s="102">
        <f>Q8-R8-I8+K8+AF8-V8-AP8</f>
        <v/>
      </c>
      <c r="AN8" s="132">
        <f>SUM($H$4:H8)</f>
        <v/>
      </c>
      <c r="AO8" s="102">
        <f>H8*Assumptions!$B$16</f>
        <v/>
      </c>
      <c r="AP8" s="102">
        <f>MAX(AO8*Assumptions!$B$62,Assumptions!$B$63)+Assumptions!$B$64/12</f>
        <v/>
      </c>
      <c r="AQ8" s="102">
        <f>(O8+P8)*Assumptions!$B$61/(1-Assumptions!$B$61)</f>
        <v/>
      </c>
    </row>
    <row r="9" ht="15" customHeight="1" s="85">
      <c r="A9" s="58" t="n">
        <v>6</v>
      </c>
      <c r="B9" s="59">
        <f>EDATE(Assumptions!$B$4,5)</f>
        <v/>
      </c>
      <c r="C9" s="66">
        <f>INT((A9-1)/12)+1</f>
        <v/>
      </c>
      <c r="D9" s="62">
        <f>IF(C9=1,Assumptions!$B$6,IF(C9=2,Assumptions!$B$7,IF(C9=3,Assumptions!$B$8,IF(C9=4,Assumptions!$B$9,Assumptions!$B$10))))</f>
        <v/>
      </c>
      <c r="E9" s="62">
        <f>ROUND(F8*Assumptions!$B$11,0)</f>
        <v/>
      </c>
      <c r="F9" s="62">
        <f>F8+1</f>
        <v/>
      </c>
      <c r="G9" s="62">
        <f>ROUND(F9*Assumptions!$B$14*(365/12/7),0)</f>
        <v/>
      </c>
      <c r="H9" s="62">
        <f>ROUND(G9*Assumptions!$B$15,0)</f>
        <v/>
      </c>
      <c r="I9" s="63">
        <f>AO9*(1-Assumptions!$B$61)</f>
        <v/>
      </c>
      <c r="J9" s="63">
        <f>M8</f>
        <v/>
      </c>
      <c r="K9" s="68">
        <f>IFERROR(J9/Assumptions!$B$17,0)</f>
        <v/>
      </c>
      <c r="L9" s="68">
        <f>J9*Assumptions!$B$20/12</f>
        <v/>
      </c>
      <c r="M9" s="67">
        <f>MAX(J9+I9-K9-L9,0)</f>
        <v/>
      </c>
      <c r="N9" s="68">
        <f>(J9+M9)/2</f>
        <v/>
      </c>
      <c r="O9" s="63">
        <f>N9*Assumptions!$B$18/12</f>
        <v/>
      </c>
      <c r="P9" s="63">
        <f>I9*Assumptions!$B$19</f>
        <v/>
      </c>
      <c r="Q9" s="67">
        <f>O9+P9</f>
        <v/>
      </c>
      <c r="R9" s="63">
        <f>Assumptions!$B$33*(1+Assumptions!$B$34)^(C9-1)/12</f>
        <v/>
      </c>
      <c r="S9" s="68">
        <f>L9</f>
        <v/>
      </c>
      <c r="T9" s="68">
        <f>Q9-R9-S9-AP9</f>
        <v/>
      </c>
      <c r="U9" s="68">
        <f>MIN(AE9,M9*Assumptions!$B$24/(1+Assumptions!$B$24))</f>
        <v/>
      </c>
      <c r="V9" s="63">
        <f>((U9+U8)/2)*Assumptions!$B$23/12</f>
        <v/>
      </c>
      <c r="W9" s="67">
        <f>T9-V9+AJ9</f>
        <v/>
      </c>
      <c r="X9" s="68">
        <f>X8+W9</f>
        <v/>
      </c>
      <c r="Y9" s="68">
        <f>MAX(M9-U9,0)</f>
        <v/>
      </c>
      <c r="Z9" s="63">
        <f>R9*Assumptions!$B$25</f>
        <v/>
      </c>
      <c r="AA9" s="67">
        <f>Y9+Z9</f>
        <v/>
      </c>
      <c r="AB9" s="68">
        <f>MAX(AB8,AA9)</f>
        <v/>
      </c>
      <c r="AC9" s="67" t="n">
        <v>0</v>
      </c>
      <c r="AD9" s="67">
        <f>AK9+AC9</f>
        <v/>
      </c>
      <c r="AE9" s="102">
        <f>IF(SUM($H$4:H9)&lt;Assumptions!$B$57,0,MAX(MAX(Assumptions!$B$44,AE8),IF(M9*Assumptions!$B$24/(1+Assumptions!$B$24)&gt;MAX(Assumptions!$B$44,AE8)*Assumptions!$B$53,M9*Assumptions!$B$24/(1+Assumptions!$B$24)/Assumptions!$B$54,MAX(Assumptions!$B$44,AE8))))</f>
        <v/>
      </c>
      <c r="AF9" s="102">
        <f>U9-U8</f>
        <v/>
      </c>
      <c r="AG9" s="103">
        <f>IFERROR(U9/AE9,0)</f>
        <v/>
      </c>
      <c r="AH9" s="102">
        <f>MAX(0,AE9-AE8)</f>
        <v/>
      </c>
      <c r="AI9" s="102">
        <f>MAX(AD8-Z9,0)</f>
        <v/>
      </c>
      <c r="AJ9" s="102">
        <f>AI9*Assumptions!$B$46/12</f>
        <v/>
      </c>
      <c r="AK9" s="102">
        <f>AD8+Q9-R9-I9+K9+AF9-V9+AJ9-AP9</f>
        <v/>
      </c>
      <c r="AL9" s="104">
        <f>TRIM(IF(AH9&gt;0,"Increase warehouse facility to $"&amp;TEXT(AE9,"#,##0")&amp;" (from $"&amp;TEXT(AE8,"#,##0")&amp;"). ","")&amp;IF(AC9&gt;0,"Raise ~$"&amp;TEXT(AC9,"#,##0")&amp;" of equity — annual raise, funds the next 12 months.",""))</f>
        <v/>
      </c>
      <c r="AM9" s="102">
        <f>Q9-R9-I9+K9+AF9-V9-AP9</f>
        <v/>
      </c>
      <c r="AN9" s="132">
        <f>SUM($H$4:H9)</f>
        <v/>
      </c>
      <c r="AO9" s="102">
        <f>H9*Assumptions!$B$16</f>
        <v/>
      </c>
      <c r="AP9" s="102">
        <f>MAX(AO9*Assumptions!$B$62,Assumptions!$B$63)+Assumptions!$B$64/12</f>
        <v/>
      </c>
      <c r="AQ9" s="102">
        <f>(O9+P9)*Assumptions!$B$61/(1-Assumptions!$B$61)</f>
        <v/>
      </c>
    </row>
    <row r="10" ht="15" customHeight="1" s="85">
      <c r="A10" s="46" t="n">
        <v>7</v>
      </c>
      <c r="B10" s="32">
        <f>EDATE(Assumptions!$B$4,6)</f>
        <v/>
      </c>
      <c r="C10" s="47">
        <f>INT((A10-1)/12)+1</f>
        <v/>
      </c>
      <c r="D10" s="36">
        <f>IF(C10=1,Assumptions!$B$6,IF(C10=2,Assumptions!$B$7,IF(C10=3,Assumptions!$B$8,IF(C10=4,Assumptions!$B$9,Assumptions!$B$10))))</f>
        <v/>
      </c>
      <c r="E10" s="36">
        <f>ROUND(F9*Assumptions!$B$11,0)</f>
        <v/>
      </c>
      <c r="F10" s="36">
        <f>F9+D10-E10</f>
        <v/>
      </c>
      <c r="G10" s="36">
        <f>ROUND(F10*Assumptions!$B$14*(365/12/7),0)</f>
        <v/>
      </c>
      <c r="H10" s="36">
        <f>ROUND(G10*Assumptions!$B$15,0)</f>
        <v/>
      </c>
      <c r="I10" s="38">
        <f>AO10*(1-Assumptions!$B$61)</f>
        <v/>
      </c>
      <c r="J10" s="38">
        <f>M9</f>
        <v/>
      </c>
      <c r="K10" s="40">
        <f>IFERROR(J10/Assumptions!$B$17,0)</f>
        <v/>
      </c>
      <c r="L10" s="40">
        <f>J10*Assumptions!$B$20/12</f>
        <v/>
      </c>
      <c r="M10" s="41">
        <f>MAX(J10+I10-K10-L10,0)</f>
        <v/>
      </c>
      <c r="N10" s="40">
        <f>(J10+M10)/2</f>
        <v/>
      </c>
      <c r="O10" s="38">
        <f>N10*Assumptions!$B$18/12</f>
        <v/>
      </c>
      <c r="P10" s="38">
        <f>I10*Assumptions!$B$19</f>
        <v/>
      </c>
      <c r="Q10" s="41">
        <f>O10+P10</f>
        <v/>
      </c>
      <c r="R10" s="38">
        <f>Assumptions!$B$33*(1+Assumptions!$B$34)^(C10-1)/12</f>
        <v/>
      </c>
      <c r="S10" s="40">
        <f>L10</f>
        <v/>
      </c>
      <c r="T10" s="40">
        <f>Q10-R10-S10-AP10</f>
        <v/>
      </c>
      <c r="U10" s="40">
        <f>MIN(AE10,M10*Assumptions!$B$24/(1+Assumptions!$B$24))</f>
        <v/>
      </c>
      <c r="V10" s="38">
        <f>((U10+U9)/2)*Assumptions!$B$23/12</f>
        <v/>
      </c>
      <c r="W10" s="41">
        <f>T10-V10+AJ10</f>
        <v/>
      </c>
      <c r="X10" s="40">
        <f>X9+W10</f>
        <v/>
      </c>
      <c r="Y10" s="40">
        <f>MAX(M10-U10,0)</f>
        <v/>
      </c>
      <c r="Z10" s="38">
        <f>R10*Assumptions!$B$25</f>
        <v/>
      </c>
      <c r="AA10" s="41">
        <f>Y10+Z10</f>
        <v/>
      </c>
      <c r="AB10" s="40">
        <f>MAX(AB9,AA10)</f>
        <v/>
      </c>
      <c r="AC10" s="41" t="n">
        <v>0</v>
      </c>
      <c r="AD10" s="41">
        <f>AK10+AC10</f>
        <v/>
      </c>
      <c r="AE10" s="102">
        <f>IF(SUM($H$4:H10)&lt;Assumptions!$B$57,0,MAX(MAX(Assumptions!$B$44,AE9),IF(M10*Assumptions!$B$24/(1+Assumptions!$B$24)&gt;MAX(Assumptions!$B$44,AE9)*Assumptions!$B$53,M10*Assumptions!$B$24/(1+Assumptions!$B$24)/Assumptions!$B$54,MAX(Assumptions!$B$44,AE9))))</f>
        <v/>
      </c>
      <c r="AF10" s="102">
        <f>U10-U9</f>
        <v/>
      </c>
      <c r="AG10" s="103">
        <f>IFERROR(U10/AE10,0)</f>
        <v/>
      </c>
      <c r="AH10" s="102">
        <f>MAX(0,AE10-AE9)</f>
        <v/>
      </c>
      <c r="AI10" s="102">
        <f>MAX(AD9-Z10,0)</f>
        <v/>
      </c>
      <c r="AJ10" s="102">
        <f>AI10*Assumptions!$B$46/12</f>
        <v/>
      </c>
      <c r="AK10" s="102">
        <f>AD9+Q10-R10-I10+K10+AF10-V10+AJ10-AP10</f>
        <v/>
      </c>
      <c r="AL10" s="104">
        <f>TRIM(IF(AH10&gt;0,"Increase warehouse facility to $"&amp;TEXT(AE10,"#,##0")&amp;" (from $"&amp;TEXT(AE9,"#,##0")&amp;"). ","")&amp;IF(AC10&gt;0,"Raise ~$"&amp;TEXT(AC10,"#,##0")&amp;" of equity — annual raise, funds the next 12 months.",""))</f>
        <v/>
      </c>
      <c r="AM10" s="102">
        <f>Q10-R10-I10+K10+AF10-V10-AP10</f>
        <v/>
      </c>
      <c r="AN10" s="132">
        <f>SUM($H$4:H10)</f>
        <v/>
      </c>
      <c r="AO10" s="102">
        <f>H10*Assumptions!$B$16</f>
        <v/>
      </c>
      <c r="AP10" s="102">
        <f>MAX(AO10*Assumptions!$B$62,Assumptions!$B$63)+Assumptions!$B$64/12</f>
        <v/>
      </c>
      <c r="AQ10" s="102">
        <f>(O10+P10)*Assumptions!$B$61/(1-Assumptions!$B$61)</f>
        <v/>
      </c>
    </row>
    <row r="11" ht="15" customHeight="1" s="85">
      <c r="A11" s="58" t="n">
        <v>8</v>
      </c>
      <c r="B11" s="59">
        <f>EDATE(Assumptions!$B$4,7)</f>
        <v/>
      </c>
      <c r="C11" s="66">
        <f>INT((A11-1)/12)+1</f>
        <v/>
      </c>
      <c r="D11" s="62">
        <f>IF(C11=1,Assumptions!$B$6,IF(C11=2,Assumptions!$B$7,IF(C11=3,Assumptions!$B$8,IF(C11=4,Assumptions!$B$9,Assumptions!$B$10))))</f>
        <v/>
      </c>
      <c r="E11" s="62">
        <f>ROUND(F10*Assumptions!$B$11,0)</f>
        <v/>
      </c>
      <c r="F11" s="62">
        <f>F10+D11-E11</f>
        <v/>
      </c>
      <c r="G11" s="62">
        <f>ROUND(F11*Assumptions!$B$14*(365/12/7),0)</f>
        <v/>
      </c>
      <c r="H11" s="62">
        <f>ROUND(G11*Assumptions!$B$15,0)</f>
        <v/>
      </c>
      <c r="I11" s="63">
        <f>AO11*(1-Assumptions!$B$61)</f>
        <v/>
      </c>
      <c r="J11" s="63">
        <f>M10</f>
        <v/>
      </c>
      <c r="K11" s="68">
        <f>IFERROR(J11/Assumptions!$B$17,0)</f>
        <v/>
      </c>
      <c r="L11" s="68">
        <f>J11*Assumptions!$B$20/12</f>
        <v/>
      </c>
      <c r="M11" s="67">
        <f>MAX(J11+I11-K11-L11,0)</f>
        <v/>
      </c>
      <c r="N11" s="68">
        <f>(J11+M11)/2</f>
        <v/>
      </c>
      <c r="O11" s="63">
        <f>N11*Assumptions!$B$18/12</f>
        <v/>
      </c>
      <c r="P11" s="63">
        <f>I11*Assumptions!$B$19</f>
        <v/>
      </c>
      <c r="Q11" s="67">
        <f>O11+P11</f>
        <v/>
      </c>
      <c r="R11" s="63">
        <f>Assumptions!$B$33*(1+Assumptions!$B$34)^(C11-1)/12</f>
        <v/>
      </c>
      <c r="S11" s="68">
        <f>L11</f>
        <v/>
      </c>
      <c r="T11" s="68">
        <f>Q11-R11-S11-AP11</f>
        <v/>
      </c>
      <c r="U11" s="68">
        <f>MIN(AE11,M11*Assumptions!$B$24/(1+Assumptions!$B$24))</f>
        <v/>
      </c>
      <c r="V11" s="63">
        <f>((U11+U10)/2)*Assumptions!$B$23/12</f>
        <v/>
      </c>
      <c r="W11" s="67">
        <f>T11-V11+AJ11</f>
        <v/>
      </c>
      <c r="X11" s="68">
        <f>X10+W11</f>
        <v/>
      </c>
      <c r="Y11" s="68">
        <f>MAX(M11-U11,0)</f>
        <v/>
      </c>
      <c r="Z11" s="63">
        <f>R11*Assumptions!$B$25</f>
        <v/>
      </c>
      <c r="AA11" s="67">
        <f>Y11+Z11</f>
        <v/>
      </c>
      <c r="AB11" s="68">
        <f>MAX(AB10,AA11)</f>
        <v/>
      </c>
      <c r="AC11" s="67" t="n">
        <v>0</v>
      </c>
      <c r="AD11" s="67">
        <f>AK11+AC11</f>
        <v/>
      </c>
      <c r="AE11" s="102">
        <f>IF(SUM($H$4:H11)&lt;Assumptions!$B$57,0,MAX(MAX(Assumptions!$B$44,AE10),IF(M11*Assumptions!$B$24/(1+Assumptions!$B$24)&gt;MAX(Assumptions!$B$44,AE10)*Assumptions!$B$53,M11*Assumptions!$B$24/(1+Assumptions!$B$24)/Assumptions!$B$54,MAX(Assumptions!$B$44,AE10))))</f>
        <v/>
      </c>
      <c r="AF11" s="102">
        <f>U11-U10</f>
        <v/>
      </c>
      <c r="AG11" s="103">
        <f>IFERROR(U11/AE11,0)</f>
        <v/>
      </c>
      <c r="AH11" s="102">
        <f>MAX(0,AE11-AE10)</f>
        <v/>
      </c>
      <c r="AI11" s="102">
        <f>MAX(AD10-Z11,0)</f>
        <v/>
      </c>
      <c r="AJ11" s="102">
        <f>AI11*Assumptions!$B$46/12</f>
        <v/>
      </c>
      <c r="AK11" s="102">
        <f>AD10+Q11-R11-I11+K11+AF11-V11+AJ11-AP11</f>
        <v/>
      </c>
      <c r="AL11" s="104">
        <f>TRIM(IF(AH11&gt;0,"Increase warehouse facility to $"&amp;TEXT(AE11,"#,##0")&amp;" (from $"&amp;TEXT(AE10,"#,##0")&amp;"). ","")&amp;IF(AC11&gt;0,"Raise ~$"&amp;TEXT(AC11,"#,##0")&amp;" of equity — annual raise, funds the next 12 months.",""))</f>
        <v/>
      </c>
      <c r="AM11" s="102">
        <f>Q11-R11-I11+K11+AF11-V11-AP11</f>
        <v/>
      </c>
      <c r="AN11" s="132">
        <f>SUM($H$4:H11)</f>
        <v/>
      </c>
      <c r="AO11" s="102">
        <f>H11*Assumptions!$B$16</f>
        <v/>
      </c>
      <c r="AP11" s="102">
        <f>MAX(AO11*Assumptions!$B$62,Assumptions!$B$63)+Assumptions!$B$64/12</f>
        <v/>
      </c>
      <c r="AQ11" s="102">
        <f>(O11+P11)*Assumptions!$B$61/(1-Assumptions!$B$61)</f>
        <v/>
      </c>
    </row>
    <row r="12" ht="15" customHeight="1" s="85">
      <c r="A12" s="46" t="n">
        <v>9</v>
      </c>
      <c r="B12" s="32">
        <f>EDATE(Assumptions!$B$4,8)</f>
        <v/>
      </c>
      <c r="C12" s="47">
        <f>INT((A12-1)/12)+1</f>
        <v/>
      </c>
      <c r="D12" s="36">
        <f>IF(C12=1,Assumptions!$B$6,IF(C12=2,Assumptions!$B$7,IF(C12=3,Assumptions!$B$8,IF(C12=4,Assumptions!$B$9,Assumptions!$B$10))))</f>
        <v/>
      </c>
      <c r="E12" s="36">
        <f>ROUND(F11*Assumptions!$B$11,0)</f>
        <v/>
      </c>
      <c r="F12" s="36">
        <f>F11+D12-E12</f>
        <v/>
      </c>
      <c r="G12" s="36">
        <f>ROUND(F12*Assumptions!$B$14*(365/12/7),0)</f>
        <v/>
      </c>
      <c r="H12" s="36">
        <f>ROUND(G12*Assumptions!$B$15,0)</f>
        <v/>
      </c>
      <c r="I12" s="38">
        <f>AO12*(1-Assumptions!$B$61)</f>
        <v/>
      </c>
      <c r="J12" s="38">
        <f>M11</f>
        <v/>
      </c>
      <c r="K12" s="40">
        <f>IFERROR(J12/Assumptions!$B$17,0)</f>
        <v/>
      </c>
      <c r="L12" s="40">
        <f>J12*Assumptions!$B$20/12</f>
        <v/>
      </c>
      <c r="M12" s="41">
        <f>MAX(J12+I12-K12-L12,0)</f>
        <v/>
      </c>
      <c r="N12" s="40">
        <f>(J12+M12)/2</f>
        <v/>
      </c>
      <c r="O12" s="38">
        <f>N12*Assumptions!$B$18/12</f>
        <v/>
      </c>
      <c r="P12" s="38">
        <f>I12*Assumptions!$B$19</f>
        <v/>
      </c>
      <c r="Q12" s="41">
        <f>O12+P12</f>
        <v/>
      </c>
      <c r="R12" s="38">
        <f>Assumptions!$B$33*(1+Assumptions!$B$34)^(C12-1)/12</f>
        <v/>
      </c>
      <c r="S12" s="40">
        <f>L12</f>
        <v/>
      </c>
      <c r="T12" s="40">
        <f>Q12-R12-S12-AP12</f>
        <v/>
      </c>
      <c r="U12" s="40">
        <f>MIN(AE12,M12*Assumptions!$B$24/(1+Assumptions!$B$24))</f>
        <v/>
      </c>
      <c r="V12" s="38">
        <f>((U12+U11)/2)*Assumptions!$B$23/12</f>
        <v/>
      </c>
      <c r="W12" s="41">
        <f>T12-V12+AJ12</f>
        <v/>
      </c>
      <c r="X12" s="40">
        <f>X11+W12</f>
        <v/>
      </c>
      <c r="Y12" s="40">
        <f>MAX(M12-U12,0)</f>
        <v/>
      </c>
      <c r="Z12" s="38">
        <f>R12*Assumptions!$B$25</f>
        <v/>
      </c>
      <c r="AA12" s="41">
        <f>Y12+Z12</f>
        <v/>
      </c>
      <c r="AB12" s="40">
        <f>MAX(AB11,AA12)</f>
        <v/>
      </c>
      <c r="AC12" s="41" t="n">
        <v>0</v>
      </c>
      <c r="AD12" s="41">
        <f>AK12+AC12</f>
        <v/>
      </c>
      <c r="AE12" s="102">
        <f>IF(SUM($H$4:H12)&lt;Assumptions!$B$57,0,MAX(MAX(Assumptions!$B$44,AE11),IF(M12*Assumptions!$B$24/(1+Assumptions!$B$24)&gt;MAX(Assumptions!$B$44,AE11)*Assumptions!$B$53,M12*Assumptions!$B$24/(1+Assumptions!$B$24)/Assumptions!$B$54,MAX(Assumptions!$B$44,AE11))))</f>
        <v/>
      </c>
      <c r="AF12" s="102">
        <f>U12-U11</f>
        <v/>
      </c>
      <c r="AG12" s="103">
        <f>IFERROR(U12/AE12,0)</f>
        <v/>
      </c>
      <c r="AH12" s="102">
        <f>MAX(0,AE12-AE11)</f>
        <v/>
      </c>
      <c r="AI12" s="102">
        <f>MAX(AD11-Z12,0)</f>
        <v/>
      </c>
      <c r="AJ12" s="102">
        <f>AI12*Assumptions!$B$46/12</f>
        <v/>
      </c>
      <c r="AK12" s="102">
        <f>AD11+Q12-R12-I12+K12+AF12-V12+AJ12-AP12</f>
        <v/>
      </c>
      <c r="AL12" s="104">
        <f>TRIM(IF(AH12&gt;0,"Increase warehouse facility to $"&amp;TEXT(AE12,"#,##0")&amp;" (from $"&amp;TEXT(AE11,"#,##0")&amp;"). ","")&amp;IF(AC12&gt;0,"Raise ~$"&amp;TEXT(AC12,"#,##0")&amp;" of equity — annual raise, funds the next 12 months.",""))</f>
        <v/>
      </c>
      <c r="AM12" s="102">
        <f>Q12-R12-I12+K12+AF12-V12-AP12</f>
        <v/>
      </c>
      <c r="AN12" s="132">
        <f>SUM($H$4:H12)</f>
        <v/>
      </c>
      <c r="AO12" s="102">
        <f>H12*Assumptions!$B$16</f>
        <v/>
      </c>
      <c r="AP12" s="102">
        <f>MAX(AO12*Assumptions!$B$62,Assumptions!$B$63)+Assumptions!$B$64/12</f>
        <v/>
      </c>
      <c r="AQ12" s="102">
        <f>(O12+P12)*Assumptions!$B$61/(1-Assumptions!$B$61)</f>
        <v/>
      </c>
    </row>
    <row r="13" ht="15" customHeight="1" s="85">
      <c r="A13" s="58" t="n">
        <v>10</v>
      </c>
      <c r="B13" s="59">
        <f>EDATE(Assumptions!$B$4,9)</f>
        <v/>
      </c>
      <c r="C13" s="66">
        <f>INT((A13-1)/12)+1</f>
        <v/>
      </c>
      <c r="D13" s="62">
        <f>IF(C13=1,Assumptions!$B$6,IF(C13=2,Assumptions!$B$7,IF(C13=3,Assumptions!$B$8,IF(C13=4,Assumptions!$B$9,Assumptions!$B$10))))</f>
        <v/>
      </c>
      <c r="E13" s="62">
        <f>ROUND(F12*Assumptions!$B$11,0)</f>
        <v/>
      </c>
      <c r="F13" s="62">
        <f>F12+D13-E13</f>
        <v/>
      </c>
      <c r="G13" s="62">
        <f>ROUND(F13*Assumptions!$B$14*(365/12/7),0)</f>
        <v/>
      </c>
      <c r="H13" s="62">
        <f>ROUND(G13*Assumptions!$B$15,0)</f>
        <v/>
      </c>
      <c r="I13" s="63">
        <f>AO13*(1-Assumptions!$B$61)</f>
        <v/>
      </c>
      <c r="J13" s="63">
        <f>M12</f>
        <v/>
      </c>
      <c r="K13" s="68">
        <f>IFERROR(J13/Assumptions!$B$17,0)</f>
        <v/>
      </c>
      <c r="L13" s="68">
        <f>J13*Assumptions!$B$20/12</f>
        <v/>
      </c>
      <c r="M13" s="67">
        <f>MAX(J13+I13-K13-L13,0)</f>
        <v/>
      </c>
      <c r="N13" s="68">
        <f>(J13+M13)/2</f>
        <v/>
      </c>
      <c r="O13" s="63">
        <f>N13*Assumptions!$B$18/12</f>
        <v/>
      </c>
      <c r="P13" s="63">
        <f>I13*Assumptions!$B$19</f>
        <v/>
      </c>
      <c r="Q13" s="67">
        <f>O13+P13</f>
        <v/>
      </c>
      <c r="R13" s="63">
        <f>Assumptions!$B$33*(1+Assumptions!$B$34)^(C13-1)/12</f>
        <v/>
      </c>
      <c r="S13" s="68">
        <f>L13</f>
        <v/>
      </c>
      <c r="T13" s="68">
        <f>Q13-R13-S13-AP13</f>
        <v/>
      </c>
      <c r="U13" s="68">
        <f>MIN(AE13,M13*Assumptions!$B$24/(1+Assumptions!$B$24))</f>
        <v/>
      </c>
      <c r="V13" s="63">
        <f>((U13+U12)/2)*Assumptions!$B$23/12</f>
        <v/>
      </c>
      <c r="W13" s="67">
        <f>T13-V13+AJ13</f>
        <v/>
      </c>
      <c r="X13" s="68">
        <f>X12+W13</f>
        <v/>
      </c>
      <c r="Y13" s="68">
        <f>MAX(M13-U13,0)</f>
        <v/>
      </c>
      <c r="Z13" s="63">
        <f>R13*Assumptions!$B$25</f>
        <v/>
      </c>
      <c r="AA13" s="67">
        <f>Y13+Z13</f>
        <v/>
      </c>
      <c r="AB13" s="68">
        <f>MAX(AB12,AA13)</f>
        <v/>
      </c>
      <c r="AC13" s="67" t="n">
        <v>0</v>
      </c>
      <c r="AD13" s="67">
        <f>AK13+AC13</f>
        <v/>
      </c>
      <c r="AE13" s="102">
        <f>IF(SUM($H$4:H13)&lt;Assumptions!$B$57,0,MAX(MAX(Assumptions!$B$44,AE12),IF(M13*Assumptions!$B$24/(1+Assumptions!$B$24)&gt;MAX(Assumptions!$B$44,AE12)*Assumptions!$B$53,M13*Assumptions!$B$24/(1+Assumptions!$B$24)/Assumptions!$B$54,MAX(Assumptions!$B$44,AE12))))</f>
        <v/>
      </c>
      <c r="AF13" s="102">
        <f>U13-U12</f>
        <v/>
      </c>
      <c r="AG13" s="103">
        <f>IFERROR(U13/AE13,0)</f>
        <v/>
      </c>
      <c r="AH13" s="102">
        <f>MAX(0,AE13-AE12)</f>
        <v/>
      </c>
      <c r="AI13" s="102">
        <f>MAX(AD12-Z13,0)</f>
        <v/>
      </c>
      <c r="AJ13" s="102">
        <f>AI13*Assumptions!$B$46/12</f>
        <v/>
      </c>
      <c r="AK13" s="102">
        <f>AD12+Q13-R13-I13+K13+AF13-V13+AJ13-AP13</f>
        <v/>
      </c>
      <c r="AL13" s="104">
        <f>TRIM(IF(AH13&gt;0,"Increase warehouse facility to $"&amp;TEXT(AE13,"#,##0")&amp;" (from $"&amp;TEXT(AE12,"#,##0")&amp;"). ","")&amp;IF(AC13&gt;0,"Raise ~$"&amp;TEXT(AC13,"#,##0")&amp;" of equity — annual raise, funds the next 12 months.",""))</f>
        <v/>
      </c>
      <c r="AM13" s="102">
        <f>Q13-R13-I13+K13+AF13-V13-AP13</f>
        <v/>
      </c>
      <c r="AN13" s="132">
        <f>SUM($H$4:H13)</f>
        <v/>
      </c>
      <c r="AO13" s="102">
        <f>H13*Assumptions!$B$16</f>
        <v/>
      </c>
      <c r="AP13" s="102">
        <f>MAX(AO13*Assumptions!$B$62,Assumptions!$B$63)+Assumptions!$B$64/12</f>
        <v/>
      </c>
      <c r="AQ13" s="102">
        <f>(O13+P13)*Assumptions!$B$61/(1-Assumptions!$B$61)</f>
        <v/>
      </c>
    </row>
    <row r="14" ht="15" customHeight="1" s="85">
      <c r="A14" s="46" t="n">
        <v>11</v>
      </c>
      <c r="B14" s="32">
        <f>EDATE(Assumptions!$B$4,10)</f>
        <v/>
      </c>
      <c r="C14" s="47">
        <f>INT((A14-1)/12)+1</f>
        <v/>
      </c>
      <c r="D14" s="36">
        <f>IF(C14=1,Assumptions!$B$6,IF(C14=2,Assumptions!$B$7,IF(C14=3,Assumptions!$B$8,IF(C14=4,Assumptions!$B$9,Assumptions!$B$10))))</f>
        <v/>
      </c>
      <c r="E14" s="36">
        <f>ROUND(F13*Assumptions!$B$11,0)</f>
        <v/>
      </c>
      <c r="F14" s="36">
        <f>F13+D14-E14</f>
        <v/>
      </c>
      <c r="G14" s="36">
        <f>ROUND(F14*Assumptions!$B$14*(365/12/7),0)</f>
        <v/>
      </c>
      <c r="H14" s="36">
        <f>ROUND(G14*Assumptions!$B$15,0)</f>
        <v/>
      </c>
      <c r="I14" s="38">
        <f>AO14*(1-Assumptions!$B$61)</f>
        <v/>
      </c>
      <c r="J14" s="38">
        <f>M13</f>
        <v/>
      </c>
      <c r="K14" s="40">
        <f>IFERROR(J14/Assumptions!$B$17,0)</f>
        <v/>
      </c>
      <c r="L14" s="40">
        <f>J14*Assumptions!$B$20/12</f>
        <v/>
      </c>
      <c r="M14" s="41">
        <f>MAX(J14+I14-K14-L14,0)</f>
        <v/>
      </c>
      <c r="N14" s="40">
        <f>(J14+M14)/2</f>
        <v/>
      </c>
      <c r="O14" s="38">
        <f>N14*Assumptions!$B$18/12</f>
        <v/>
      </c>
      <c r="P14" s="38">
        <f>I14*Assumptions!$B$19</f>
        <v/>
      </c>
      <c r="Q14" s="41">
        <f>O14+P14</f>
        <v/>
      </c>
      <c r="R14" s="38">
        <f>Assumptions!$B$33*(1+Assumptions!$B$34)^(C14-1)/12</f>
        <v/>
      </c>
      <c r="S14" s="40">
        <f>L14</f>
        <v/>
      </c>
      <c r="T14" s="40">
        <f>Q14-R14-S14-AP14</f>
        <v/>
      </c>
      <c r="U14" s="40">
        <f>MIN(AE14,M14*Assumptions!$B$24/(1+Assumptions!$B$24))</f>
        <v/>
      </c>
      <c r="V14" s="38">
        <f>((U14+U13)/2)*Assumptions!$B$23/12</f>
        <v/>
      </c>
      <c r="W14" s="41">
        <f>T14-V14+AJ14</f>
        <v/>
      </c>
      <c r="X14" s="40">
        <f>X13+W14</f>
        <v/>
      </c>
      <c r="Y14" s="40">
        <f>MAX(M14-U14,0)</f>
        <v/>
      </c>
      <c r="Z14" s="38">
        <f>R14*Assumptions!$B$25</f>
        <v/>
      </c>
      <c r="AA14" s="41">
        <f>Y14+Z14</f>
        <v/>
      </c>
      <c r="AB14" s="40">
        <f>MAX(AB13,AA14)</f>
        <v/>
      </c>
      <c r="AC14" s="41" t="n">
        <v>0</v>
      </c>
      <c r="AD14" s="41">
        <f>AK14+AC14</f>
        <v/>
      </c>
      <c r="AE14" s="102">
        <f>IF(SUM($H$4:H14)&lt;Assumptions!$B$57,0,MAX(MAX(Assumptions!$B$44,AE13),IF(M14*Assumptions!$B$24/(1+Assumptions!$B$24)&gt;MAX(Assumptions!$B$44,AE13)*Assumptions!$B$53,M14*Assumptions!$B$24/(1+Assumptions!$B$24)/Assumptions!$B$54,MAX(Assumptions!$B$44,AE13))))</f>
        <v/>
      </c>
      <c r="AF14" s="102">
        <f>U14-U13</f>
        <v/>
      </c>
      <c r="AG14" s="103">
        <f>IFERROR(U14/AE14,0)</f>
        <v/>
      </c>
      <c r="AH14" s="102">
        <f>MAX(0,AE14-AE13)</f>
        <v/>
      </c>
      <c r="AI14" s="102">
        <f>MAX(AD13-Z14,0)</f>
        <v/>
      </c>
      <c r="AJ14" s="102">
        <f>AI14*Assumptions!$B$46/12</f>
        <v/>
      </c>
      <c r="AK14" s="102">
        <f>AD13+Q14-R14-I14+K14+AF14-V14+AJ14-AP14</f>
        <v/>
      </c>
      <c r="AL14" s="104">
        <f>TRIM(IF(AH14&gt;0,"Increase warehouse facility to $"&amp;TEXT(AE14,"#,##0")&amp;" (from $"&amp;TEXT(AE13,"#,##0")&amp;"). ","")&amp;IF(AC14&gt;0,"Raise ~$"&amp;TEXT(AC14,"#,##0")&amp;" of equity — annual raise, funds the next 12 months.",""))</f>
        <v/>
      </c>
      <c r="AM14" s="102">
        <f>Q14-R14-I14+K14+AF14-V14-AP14</f>
        <v/>
      </c>
      <c r="AN14" s="132">
        <f>SUM($H$4:H14)</f>
        <v/>
      </c>
      <c r="AO14" s="102">
        <f>H14*Assumptions!$B$16</f>
        <v/>
      </c>
      <c r="AP14" s="102">
        <f>MAX(AO14*Assumptions!$B$62,Assumptions!$B$63)+Assumptions!$B$64/12</f>
        <v/>
      </c>
      <c r="AQ14" s="102">
        <f>(O14+P14)*Assumptions!$B$61/(1-Assumptions!$B$61)</f>
        <v/>
      </c>
    </row>
    <row r="15" ht="15" customHeight="1" s="85">
      <c r="A15" s="58" t="n">
        <v>12</v>
      </c>
      <c r="B15" s="59">
        <f>EDATE(Assumptions!$B$4,11)</f>
        <v/>
      </c>
      <c r="C15" s="66">
        <f>INT((A15-1)/12)+1</f>
        <v/>
      </c>
      <c r="D15" s="62">
        <f>IF(C15=1,Assumptions!$B$6,IF(C15=2,Assumptions!$B$7,IF(C15=3,Assumptions!$B$8,IF(C15=4,Assumptions!$B$9,Assumptions!$B$10))))</f>
        <v/>
      </c>
      <c r="E15" s="62">
        <f>ROUND(F14*Assumptions!$B$11,0)</f>
        <v/>
      </c>
      <c r="F15" s="62">
        <f>F14+D15-E15</f>
        <v/>
      </c>
      <c r="G15" s="62">
        <f>ROUND(F15*Assumptions!$B$14*(365/12/7),0)</f>
        <v/>
      </c>
      <c r="H15" s="62">
        <f>ROUND(G15*Assumptions!$B$15,0)</f>
        <v/>
      </c>
      <c r="I15" s="63">
        <f>AO15*(1-Assumptions!$B$61)</f>
        <v/>
      </c>
      <c r="J15" s="63">
        <f>M14</f>
        <v/>
      </c>
      <c r="K15" s="68">
        <f>IFERROR(J15/Assumptions!$B$17,0)</f>
        <v/>
      </c>
      <c r="L15" s="68">
        <f>J15*Assumptions!$B$20/12</f>
        <v/>
      </c>
      <c r="M15" s="67">
        <f>MAX(J15+I15-K15-L15,0)</f>
        <v/>
      </c>
      <c r="N15" s="68">
        <f>(J15+M15)/2</f>
        <v/>
      </c>
      <c r="O15" s="63">
        <f>N15*Assumptions!$B$18/12</f>
        <v/>
      </c>
      <c r="P15" s="63">
        <f>I15*Assumptions!$B$19</f>
        <v/>
      </c>
      <c r="Q15" s="67">
        <f>O15+P15</f>
        <v/>
      </c>
      <c r="R15" s="63">
        <f>Assumptions!$B$33*(1+Assumptions!$B$34)^(C15-1)/12</f>
        <v/>
      </c>
      <c r="S15" s="68">
        <f>L15</f>
        <v/>
      </c>
      <c r="T15" s="68">
        <f>Q15-R15-S15-AP15</f>
        <v/>
      </c>
      <c r="U15" s="68">
        <f>MIN(AE15,M15*Assumptions!$B$24/(1+Assumptions!$B$24))</f>
        <v/>
      </c>
      <c r="V15" s="63">
        <f>((U15+U14)/2)*Assumptions!$B$23/12</f>
        <v/>
      </c>
      <c r="W15" s="67">
        <f>T15-V15+AJ15</f>
        <v/>
      </c>
      <c r="X15" s="68">
        <f>X14+W15</f>
        <v/>
      </c>
      <c r="Y15" s="68">
        <f>MAX(M15-U15,0)</f>
        <v/>
      </c>
      <c r="Z15" s="63">
        <f>R15*Assumptions!$B$25</f>
        <v/>
      </c>
      <c r="AA15" s="67">
        <f>Y15+Z15</f>
        <v/>
      </c>
      <c r="AB15" s="68">
        <f>MAX(AB14,AA15)</f>
        <v/>
      </c>
      <c r="AC15" s="67" t="n">
        <v>0</v>
      </c>
      <c r="AD15" s="67">
        <f>AK15+AC15</f>
        <v/>
      </c>
      <c r="AE15" s="102">
        <f>IF(SUM($H$4:H15)&lt;Assumptions!$B$57,0,MAX(MAX(Assumptions!$B$44,AE14),IF(M15*Assumptions!$B$24/(1+Assumptions!$B$24)&gt;MAX(Assumptions!$B$44,AE14)*Assumptions!$B$53,M15*Assumptions!$B$24/(1+Assumptions!$B$24)/Assumptions!$B$54,MAX(Assumptions!$B$44,AE14))))</f>
        <v/>
      </c>
      <c r="AF15" s="102">
        <f>U15-U14</f>
        <v/>
      </c>
      <c r="AG15" s="103">
        <f>IFERROR(U15/AE15,0)</f>
        <v/>
      </c>
      <c r="AH15" s="102">
        <f>MAX(0,AE15-AE14)</f>
        <v/>
      </c>
      <c r="AI15" s="102">
        <f>MAX(AD14-Z15,0)</f>
        <v/>
      </c>
      <c r="AJ15" s="102">
        <f>AI15*Assumptions!$B$46/12</f>
        <v/>
      </c>
      <c r="AK15" s="102">
        <f>AD14+Q15-R15-I15+K15+AF15-V15+AJ15-AP15</f>
        <v/>
      </c>
      <c r="AL15" s="104">
        <f>TRIM(IF(AH15&gt;0,"Increase warehouse facility to $"&amp;TEXT(AE15,"#,##0")&amp;" (from $"&amp;TEXT(AE14,"#,##0")&amp;"). ","")&amp;IF(AC15&gt;0,"Raise ~$"&amp;TEXT(AC15,"#,##0")&amp;" of equity — annual raise, funds the next 12 months.",""))</f>
        <v/>
      </c>
      <c r="AM15" s="102">
        <f>Q15-R15-I15+K15+AF15-V15-AP15</f>
        <v/>
      </c>
      <c r="AN15" s="132">
        <f>SUM($H$4:H15)</f>
        <v/>
      </c>
      <c r="AO15" s="102">
        <f>H15*Assumptions!$B$16</f>
        <v/>
      </c>
      <c r="AP15" s="102">
        <f>MAX(AO15*Assumptions!$B$62,Assumptions!$B$63)+Assumptions!$B$64/12</f>
        <v/>
      </c>
      <c r="AQ15" s="102">
        <f>(O15+P15)*Assumptions!$B$61/(1-Assumptions!$B$61)</f>
        <v/>
      </c>
    </row>
    <row r="16" ht="15" customHeight="1" s="85">
      <c r="A16" s="46" t="n">
        <v>13</v>
      </c>
      <c r="B16" s="32">
        <f>EDATE(Assumptions!$B$4,12)</f>
        <v/>
      </c>
      <c r="C16" s="47">
        <f>INT((A16-1)/12)+1</f>
        <v/>
      </c>
      <c r="D16" s="36">
        <f>IF(C16=1,Assumptions!$B$6,IF(C16=2,Assumptions!$B$7,IF(C16=3,Assumptions!$B$8,IF(C16=4,Assumptions!$B$9,Assumptions!$B$10))))</f>
        <v/>
      </c>
      <c r="E16" s="36">
        <f>ROUND(F15*Assumptions!$B$11,0)</f>
        <v/>
      </c>
      <c r="F16" s="36">
        <f>F15+D16-E16</f>
        <v/>
      </c>
      <c r="G16" s="36">
        <f>ROUND(F16*Assumptions!$B$14*(365/12/7),0)</f>
        <v/>
      </c>
      <c r="H16" s="36">
        <f>ROUND(G16*Assumptions!$B$15,0)</f>
        <v/>
      </c>
      <c r="I16" s="38">
        <f>AO16*(1-Assumptions!$B$61)</f>
        <v/>
      </c>
      <c r="J16" s="38">
        <f>M15</f>
        <v/>
      </c>
      <c r="K16" s="40">
        <f>IFERROR(J16/Assumptions!$B$17,0)</f>
        <v/>
      </c>
      <c r="L16" s="40">
        <f>J16*Assumptions!$B$20/12</f>
        <v/>
      </c>
      <c r="M16" s="41">
        <f>MAX(J16+I16-K16-L16,0)</f>
        <v/>
      </c>
      <c r="N16" s="40">
        <f>(J16+M16)/2</f>
        <v/>
      </c>
      <c r="O16" s="38">
        <f>N16*Assumptions!$B$18/12</f>
        <v/>
      </c>
      <c r="P16" s="38">
        <f>I16*Assumptions!$B$19</f>
        <v/>
      </c>
      <c r="Q16" s="41">
        <f>O16+P16</f>
        <v/>
      </c>
      <c r="R16" s="38">
        <f>Assumptions!$B$33*(1+Assumptions!$B$34)^(C16-1)/12</f>
        <v/>
      </c>
      <c r="S16" s="40">
        <f>L16</f>
        <v/>
      </c>
      <c r="T16" s="40">
        <f>Q16-R16-S16-AP16</f>
        <v/>
      </c>
      <c r="U16" s="40">
        <f>MIN(AE16,M16*Assumptions!$B$24/(1+Assumptions!$B$24))</f>
        <v/>
      </c>
      <c r="V16" s="38">
        <f>((U16+U15)/2)*Assumptions!$B$23/12</f>
        <v/>
      </c>
      <c r="W16" s="41">
        <f>T16-V16+AJ16</f>
        <v/>
      </c>
      <c r="X16" s="40">
        <f>X15+W16</f>
        <v/>
      </c>
      <c r="Y16" s="40">
        <f>MAX(M16-U16,0)</f>
        <v/>
      </c>
      <c r="Z16" s="38">
        <f>R16*Assumptions!$B$25</f>
        <v/>
      </c>
      <c r="AA16" s="41">
        <f>Y16+Z16</f>
        <v/>
      </c>
      <c r="AB16" s="40">
        <f>MAX(AB15,AA16)</f>
        <v/>
      </c>
      <c r="AC16" s="41">
        <f>MAX(0,MAX(Z16-AD15-AM16,Z17-AD15-SUM(AM16:AM17),Z18-AD15-SUM(AM16:AM18),Z19-AD15-SUM(AM16:AM19),Z20-AD15-SUM(AM16:AM20),Z21-AD15-SUM(AM16:AM21),Z22-AD15-SUM(AM16:AM22),Z23-AD15-SUM(AM16:AM23),Z24-AD15-SUM(AM16:AM24),Z25-AD15-SUM(AM16:AM25),Z26-AD15-SUM(AM16:AM26),Z27-AD15-SUM(AM16:AM27)))</f>
        <v/>
      </c>
      <c r="AD16" s="41">
        <f>AK16+AC16</f>
        <v/>
      </c>
      <c r="AE16" s="102">
        <f>IF(SUM($H$4:H16)&lt;Assumptions!$B$57,0,MAX(MAX(Assumptions!$B$44,AE15),IF(M16*Assumptions!$B$24/(1+Assumptions!$B$24)&gt;MAX(Assumptions!$B$44,AE15)*Assumptions!$B$53,M16*Assumptions!$B$24/(1+Assumptions!$B$24)/Assumptions!$B$54,MAX(Assumptions!$B$44,AE15))))</f>
        <v/>
      </c>
      <c r="AF16" s="102">
        <f>U16-U15</f>
        <v/>
      </c>
      <c r="AG16" s="103">
        <f>IFERROR(U16/AE16,0)</f>
        <v/>
      </c>
      <c r="AH16" s="102">
        <f>MAX(0,AE16-AE15)</f>
        <v/>
      </c>
      <c r="AI16" s="102">
        <f>MAX(AD15-Z16,0)</f>
        <v/>
      </c>
      <c r="AJ16" s="102">
        <f>AI16*Assumptions!$B$46/12</f>
        <v/>
      </c>
      <c r="AK16" s="102">
        <f>AD15+Q16-R16-I16+K16+AF16-V16+AJ16-AP16</f>
        <v/>
      </c>
      <c r="AL16" s="104">
        <f>TRIM(IF(AH16&gt;0,"Increase warehouse facility to $"&amp;TEXT(AE16,"#,##0")&amp;" (from $"&amp;TEXT(AE15,"#,##0")&amp;"). ","")&amp;IF(AC16&gt;0,"Raise ~$"&amp;TEXT(AC16,"#,##0")&amp;" of equity — annual raise, funds the next 12 months.",""))</f>
        <v/>
      </c>
      <c r="AM16" s="102">
        <f>Q16-R16-I16+K16+AF16-V16-AP16</f>
        <v/>
      </c>
      <c r="AN16" s="132">
        <f>SUM($H$4:H16)</f>
        <v/>
      </c>
      <c r="AO16" s="102">
        <f>H16*Assumptions!$B$16</f>
        <v/>
      </c>
      <c r="AP16" s="102">
        <f>MAX(AO16*Assumptions!$B$62,Assumptions!$B$63)+Assumptions!$B$64/12</f>
        <v/>
      </c>
      <c r="AQ16" s="102">
        <f>(O16+P16)*Assumptions!$B$61/(1-Assumptions!$B$61)</f>
        <v/>
      </c>
    </row>
    <row r="17" ht="15" customHeight="1" s="85">
      <c r="A17" s="58" t="n">
        <v>14</v>
      </c>
      <c r="B17" s="59">
        <f>EDATE(Assumptions!$B$4,13)</f>
        <v/>
      </c>
      <c r="C17" s="66">
        <f>INT((A17-1)/12)+1</f>
        <v/>
      </c>
      <c r="D17" s="62">
        <f>IF(C17=1,Assumptions!$B$6,IF(C17=2,Assumptions!$B$7,IF(C17=3,Assumptions!$B$8,IF(C17=4,Assumptions!$B$9,Assumptions!$B$10))))</f>
        <v/>
      </c>
      <c r="E17" s="62">
        <f>ROUND(F16*Assumptions!$B$11,0)</f>
        <v/>
      </c>
      <c r="F17" s="62">
        <f>F16+D17-E17</f>
        <v/>
      </c>
      <c r="G17" s="62">
        <f>ROUND(F17*Assumptions!$B$14*(365/12/7),0)</f>
        <v/>
      </c>
      <c r="H17" s="62">
        <f>ROUND(G17*Assumptions!$B$15,0)</f>
        <v/>
      </c>
      <c r="I17" s="63">
        <f>AO17*(1-Assumptions!$B$61)</f>
        <v/>
      </c>
      <c r="J17" s="63">
        <f>M16</f>
        <v/>
      </c>
      <c r="K17" s="68">
        <f>IFERROR(J17/Assumptions!$B$17,0)</f>
        <v/>
      </c>
      <c r="L17" s="68">
        <f>J17*Assumptions!$B$20/12</f>
        <v/>
      </c>
      <c r="M17" s="67">
        <f>MAX(J17+I17-K17-L17,0)</f>
        <v/>
      </c>
      <c r="N17" s="68">
        <f>(J17+M17)/2</f>
        <v/>
      </c>
      <c r="O17" s="63">
        <f>N17*Assumptions!$B$18/12</f>
        <v/>
      </c>
      <c r="P17" s="63">
        <f>I17*Assumptions!$B$19</f>
        <v/>
      </c>
      <c r="Q17" s="67">
        <f>O17+P17</f>
        <v/>
      </c>
      <c r="R17" s="63">
        <f>Assumptions!$B$33*(1+Assumptions!$B$34)^(C17-1)/12</f>
        <v/>
      </c>
      <c r="S17" s="68">
        <f>L17</f>
        <v/>
      </c>
      <c r="T17" s="68">
        <f>Q17-R17-S17-AP17</f>
        <v/>
      </c>
      <c r="U17" s="68">
        <f>MIN(AE17,M17*Assumptions!$B$24/(1+Assumptions!$B$24))</f>
        <v/>
      </c>
      <c r="V17" s="63">
        <f>((U17+U16)/2)*Assumptions!$B$23/12</f>
        <v/>
      </c>
      <c r="W17" s="67">
        <f>T17-V17+AJ17</f>
        <v/>
      </c>
      <c r="X17" s="68">
        <f>X16+W17</f>
        <v/>
      </c>
      <c r="Y17" s="68">
        <f>MAX(M17-U17,0)</f>
        <v/>
      </c>
      <c r="Z17" s="63">
        <f>R17*Assumptions!$B$25</f>
        <v/>
      </c>
      <c r="AA17" s="67">
        <f>Y17+Z17</f>
        <v/>
      </c>
      <c r="AB17" s="68">
        <f>MAX(AB16,AA17)</f>
        <v/>
      </c>
      <c r="AC17" s="67" t="n">
        <v>0</v>
      </c>
      <c r="AD17" s="67">
        <f>AK17+AC17</f>
        <v/>
      </c>
      <c r="AE17" s="102">
        <f>IF(SUM($H$4:H17)&lt;Assumptions!$B$57,0,MAX(MAX(Assumptions!$B$44,AE16),IF(M17*Assumptions!$B$24/(1+Assumptions!$B$24)&gt;MAX(Assumptions!$B$44,AE16)*Assumptions!$B$53,M17*Assumptions!$B$24/(1+Assumptions!$B$24)/Assumptions!$B$54,MAX(Assumptions!$B$44,AE16))))</f>
        <v/>
      </c>
      <c r="AF17" s="102">
        <f>U17-U16</f>
        <v/>
      </c>
      <c r="AG17" s="103">
        <f>IFERROR(U17/AE17,0)</f>
        <v/>
      </c>
      <c r="AH17" s="102">
        <f>MAX(0,AE17-AE16)</f>
        <v/>
      </c>
      <c r="AI17" s="102">
        <f>MAX(AD16-Z17,0)</f>
        <v/>
      </c>
      <c r="AJ17" s="102">
        <f>AI17*Assumptions!$B$46/12</f>
        <v/>
      </c>
      <c r="AK17" s="102">
        <f>AD16+Q17-R17-I17+K17+AF17-V17+AJ17-AP17</f>
        <v/>
      </c>
      <c r="AL17" s="104">
        <f>TRIM(IF(AH17&gt;0,"Increase warehouse facility to $"&amp;TEXT(AE17,"#,##0")&amp;" (from $"&amp;TEXT(AE16,"#,##0")&amp;"). ","")&amp;IF(AC17&gt;0,"Raise ~$"&amp;TEXT(AC17,"#,##0")&amp;" of equity — annual raise, funds the next 12 months.",""))</f>
        <v/>
      </c>
      <c r="AM17" s="102">
        <f>Q17-R17-I17+K17+AF17-V17-AP17</f>
        <v/>
      </c>
      <c r="AN17" s="132">
        <f>SUM($H$4:H17)</f>
        <v/>
      </c>
      <c r="AO17" s="102">
        <f>H17*Assumptions!$B$16</f>
        <v/>
      </c>
      <c r="AP17" s="102">
        <f>MAX(AO17*Assumptions!$B$62,Assumptions!$B$63)+Assumptions!$B$64/12</f>
        <v/>
      </c>
      <c r="AQ17" s="102">
        <f>(O17+P17)*Assumptions!$B$61/(1-Assumptions!$B$61)</f>
        <v/>
      </c>
    </row>
    <row r="18" ht="15" customHeight="1" s="85">
      <c r="A18" s="46" t="n">
        <v>15</v>
      </c>
      <c r="B18" s="32">
        <f>EDATE(Assumptions!$B$4,14)</f>
        <v/>
      </c>
      <c r="C18" s="47">
        <f>INT((A18-1)/12)+1</f>
        <v/>
      </c>
      <c r="D18" s="36">
        <f>IF(C18=1,Assumptions!$B$6,IF(C18=2,Assumptions!$B$7,IF(C18=3,Assumptions!$B$8,IF(C18=4,Assumptions!$B$9,Assumptions!$B$10))))</f>
        <v/>
      </c>
      <c r="E18" s="36">
        <f>ROUND(F17*Assumptions!$B$11,0)</f>
        <v/>
      </c>
      <c r="F18" s="36">
        <f>F17+D18-E18</f>
        <v/>
      </c>
      <c r="G18" s="36">
        <f>ROUND(F18*Assumptions!$B$14*(365/12/7),0)</f>
        <v/>
      </c>
      <c r="H18" s="36">
        <f>ROUND(G18*Assumptions!$B$15,0)</f>
        <v/>
      </c>
      <c r="I18" s="38">
        <f>AO18*(1-Assumptions!$B$61)</f>
        <v/>
      </c>
      <c r="J18" s="38">
        <f>M17</f>
        <v/>
      </c>
      <c r="K18" s="40">
        <f>IFERROR(J18/Assumptions!$B$17,0)</f>
        <v/>
      </c>
      <c r="L18" s="40">
        <f>J18*Assumptions!$B$20/12</f>
        <v/>
      </c>
      <c r="M18" s="41">
        <f>MAX(J18+I18-K18-L18,0)</f>
        <v/>
      </c>
      <c r="N18" s="40">
        <f>(J18+M18)/2</f>
        <v/>
      </c>
      <c r="O18" s="38">
        <f>N18*Assumptions!$B$18/12</f>
        <v/>
      </c>
      <c r="P18" s="38">
        <f>I18*Assumptions!$B$19</f>
        <v/>
      </c>
      <c r="Q18" s="41">
        <f>O18+P18</f>
        <v/>
      </c>
      <c r="R18" s="38">
        <f>Assumptions!$B$33*(1+Assumptions!$B$34)^(C18-1)/12</f>
        <v/>
      </c>
      <c r="S18" s="40">
        <f>L18</f>
        <v/>
      </c>
      <c r="T18" s="40">
        <f>Q18-R18-S18-AP18</f>
        <v/>
      </c>
      <c r="U18" s="40">
        <f>MIN(AE18,M18*Assumptions!$B$24/(1+Assumptions!$B$24))</f>
        <v/>
      </c>
      <c r="V18" s="38">
        <f>((U18+U17)/2)*Assumptions!$B$23/12</f>
        <v/>
      </c>
      <c r="W18" s="41">
        <f>T18-V18+AJ18</f>
        <v/>
      </c>
      <c r="X18" s="40">
        <f>X17+W18</f>
        <v/>
      </c>
      <c r="Y18" s="40">
        <f>MAX(M18-U18,0)</f>
        <v/>
      </c>
      <c r="Z18" s="38">
        <f>R18*Assumptions!$B$25</f>
        <v/>
      </c>
      <c r="AA18" s="41">
        <f>Y18+Z18</f>
        <v/>
      </c>
      <c r="AB18" s="40">
        <f>MAX(AB17,AA18)</f>
        <v/>
      </c>
      <c r="AC18" s="41" t="n">
        <v>0</v>
      </c>
      <c r="AD18" s="41">
        <f>AK18+AC18</f>
        <v/>
      </c>
      <c r="AE18" s="102">
        <f>IF(SUM($H$4:H18)&lt;Assumptions!$B$57,0,MAX(MAX(Assumptions!$B$44,AE17),IF(M18*Assumptions!$B$24/(1+Assumptions!$B$24)&gt;MAX(Assumptions!$B$44,AE17)*Assumptions!$B$53,M18*Assumptions!$B$24/(1+Assumptions!$B$24)/Assumptions!$B$54,MAX(Assumptions!$B$44,AE17))))</f>
        <v/>
      </c>
      <c r="AF18" s="102">
        <f>U18-U17</f>
        <v/>
      </c>
      <c r="AG18" s="103">
        <f>IFERROR(U18/AE18,0)</f>
        <v/>
      </c>
      <c r="AH18" s="102">
        <f>MAX(0,AE18-AE17)</f>
        <v/>
      </c>
      <c r="AI18" s="102">
        <f>MAX(AD17-Z18,0)</f>
        <v/>
      </c>
      <c r="AJ18" s="102">
        <f>AI18*Assumptions!$B$46/12</f>
        <v/>
      </c>
      <c r="AK18" s="102">
        <f>AD17+Q18-R18-I18+K18+AF18-V18+AJ18-AP18</f>
        <v/>
      </c>
      <c r="AL18" s="104">
        <f>TRIM(IF(AH18&gt;0,"Increase warehouse facility to $"&amp;TEXT(AE18,"#,##0")&amp;" (from $"&amp;TEXT(AE17,"#,##0")&amp;"). ","")&amp;IF(AC18&gt;0,"Raise ~$"&amp;TEXT(AC18,"#,##0")&amp;" of equity — annual raise, funds the next 12 months.",""))</f>
        <v/>
      </c>
      <c r="AM18" s="102">
        <f>Q18-R18-I18+K18+AF18-V18-AP18</f>
        <v/>
      </c>
      <c r="AN18" s="132">
        <f>SUM($H$4:H18)</f>
        <v/>
      </c>
      <c r="AO18" s="102">
        <f>H18*Assumptions!$B$16</f>
        <v/>
      </c>
      <c r="AP18" s="102">
        <f>MAX(AO18*Assumptions!$B$62,Assumptions!$B$63)+Assumptions!$B$64/12</f>
        <v/>
      </c>
      <c r="AQ18" s="102">
        <f>(O18+P18)*Assumptions!$B$61/(1-Assumptions!$B$61)</f>
        <v/>
      </c>
    </row>
    <row r="19" ht="15" customHeight="1" s="85">
      <c r="A19" s="58" t="n">
        <v>16</v>
      </c>
      <c r="B19" s="59">
        <f>EDATE(Assumptions!$B$4,15)</f>
        <v/>
      </c>
      <c r="C19" s="66">
        <f>INT((A19-1)/12)+1</f>
        <v/>
      </c>
      <c r="D19" s="62">
        <f>IF(C19=1,Assumptions!$B$6,IF(C19=2,Assumptions!$B$7,IF(C19=3,Assumptions!$B$8,IF(C19=4,Assumptions!$B$9,Assumptions!$B$10))))</f>
        <v/>
      </c>
      <c r="E19" s="62">
        <f>ROUND(F18*Assumptions!$B$11,0)</f>
        <v/>
      </c>
      <c r="F19" s="62">
        <f>F18+D19-E19</f>
        <v/>
      </c>
      <c r="G19" s="62">
        <f>ROUND(F19*Assumptions!$B$14*(365/12/7),0)</f>
        <v/>
      </c>
      <c r="H19" s="62">
        <f>ROUND(G19*Assumptions!$B$15,0)</f>
        <v/>
      </c>
      <c r="I19" s="63">
        <f>AO19*(1-Assumptions!$B$61)</f>
        <v/>
      </c>
      <c r="J19" s="63">
        <f>M18</f>
        <v/>
      </c>
      <c r="K19" s="68">
        <f>IFERROR(J19/Assumptions!$B$17,0)</f>
        <v/>
      </c>
      <c r="L19" s="68">
        <f>J19*Assumptions!$B$20/12</f>
        <v/>
      </c>
      <c r="M19" s="67">
        <f>MAX(J19+I19-K19-L19,0)</f>
        <v/>
      </c>
      <c r="N19" s="68">
        <f>(J19+M19)/2</f>
        <v/>
      </c>
      <c r="O19" s="63">
        <f>N19*Assumptions!$B$18/12</f>
        <v/>
      </c>
      <c r="P19" s="63">
        <f>I19*Assumptions!$B$19</f>
        <v/>
      </c>
      <c r="Q19" s="67">
        <f>O19+P19</f>
        <v/>
      </c>
      <c r="R19" s="63">
        <f>Assumptions!$B$33*(1+Assumptions!$B$34)^(C19-1)/12</f>
        <v/>
      </c>
      <c r="S19" s="68">
        <f>L19</f>
        <v/>
      </c>
      <c r="T19" s="68">
        <f>Q19-R19-S19-AP19</f>
        <v/>
      </c>
      <c r="U19" s="68">
        <f>MIN(AE19,M19*Assumptions!$B$24/(1+Assumptions!$B$24))</f>
        <v/>
      </c>
      <c r="V19" s="63">
        <f>((U19+U18)/2)*Assumptions!$B$23/12</f>
        <v/>
      </c>
      <c r="W19" s="67">
        <f>T19-V19+AJ19</f>
        <v/>
      </c>
      <c r="X19" s="68">
        <f>X18+W19</f>
        <v/>
      </c>
      <c r="Y19" s="68">
        <f>MAX(M19-U19,0)</f>
        <v/>
      </c>
      <c r="Z19" s="63">
        <f>R19*Assumptions!$B$25</f>
        <v/>
      </c>
      <c r="AA19" s="67">
        <f>Y19+Z19</f>
        <v/>
      </c>
      <c r="AB19" s="68">
        <f>MAX(AB18,AA19)</f>
        <v/>
      </c>
      <c r="AC19" s="67" t="n">
        <v>0</v>
      </c>
      <c r="AD19" s="67">
        <f>AK19+AC19</f>
        <v/>
      </c>
      <c r="AE19" s="102">
        <f>IF(SUM($H$4:H19)&lt;Assumptions!$B$57,0,MAX(MAX(Assumptions!$B$44,AE18),IF(M19*Assumptions!$B$24/(1+Assumptions!$B$24)&gt;MAX(Assumptions!$B$44,AE18)*Assumptions!$B$53,M19*Assumptions!$B$24/(1+Assumptions!$B$24)/Assumptions!$B$54,MAX(Assumptions!$B$44,AE18))))</f>
        <v/>
      </c>
      <c r="AF19" s="102">
        <f>U19-U18</f>
        <v/>
      </c>
      <c r="AG19" s="103">
        <f>IFERROR(U19/AE19,0)</f>
        <v/>
      </c>
      <c r="AH19" s="102">
        <f>MAX(0,AE19-AE18)</f>
        <v/>
      </c>
      <c r="AI19" s="102">
        <f>MAX(AD18-Z19,0)</f>
        <v/>
      </c>
      <c r="AJ19" s="102">
        <f>AI19*Assumptions!$B$46/12</f>
        <v/>
      </c>
      <c r="AK19" s="102">
        <f>AD18+Q19-R19-I19+K19+AF19-V19+AJ19-AP19</f>
        <v/>
      </c>
      <c r="AL19" s="104">
        <f>TRIM(IF(AH19&gt;0,"Increase warehouse facility to $"&amp;TEXT(AE19,"#,##0")&amp;" (from $"&amp;TEXT(AE18,"#,##0")&amp;"). ","")&amp;IF(AC19&gt;0,"Raise ~$"&amp;TEXT(AC19,"#,##0")&amp;" of equity — annual raise, funds the next 12 months.",""))</f>
        <v/>
      </c>
      <c r="AM19" s="102">
        <f>Q19-R19-I19+K19+AF19-V19-AP19</f>
        <v/>
      </c>
      <c r="AN19" s="132">
        <f>SUM($H$4:H19)</f>
        <v/>
      </c>
      <c r="AO19" s="102">
        <f>H19*Assumptions!$B$16</f>
        <v/>
      </c>
      <c r="AP19" s="102">
        <f>MAX(AO19*Assumptions!$B$62,Assumptions!$B$63)+Assumptions!$B$64/12</f>
        <v/>
      </c>
      <c r="AQ19" s="102">
        <f>(O19+P19)*Assumptions!$B$61/(1-Assumptions!$B$61)</f>
        <v/>
      </c>
    </row>
    <row r="20" ht="15" customHeight="1" s="85">
      <c r="A20" s="46" t="n">
        <v>17</v>
      </c>
      <c r="B20" s="32">
        <f>EDATE(Assumptions!$B$4,16)</f>
        <v/>
      </c>
      <c r="C20" s="47">
        <f>INT((A20-1)/12)+1</f>
        <v/>
      </c>
      <c r="D20" s="36">
        <f>IF(C20=1,Assumptions!$B$6,IF(C20=2,Assumptions!$B$7,IF(C20=3,Assumptions!$B$8,IF(C20=4,Assumptions!$B$9,Assumptions!$B$10))))</f>
        <v/>
      </c>
      <c r="E20" s="36">
        <f>ROUND(F19*Assumptions!$B$11,0)</f>
        <v/>
      </c>
      <c r="F20" s="36">
        <f>F19+D20-E20</f>
        <v/>
      </c>
      <c r="G20" s="36">
        <f>ROUND(F20*Assumptions!$B$14*(365/12/7),0)</f>
        <v/>
      </c>
      <c r="H20" s="36">
        <f>ROUND(G20*Assumptions!$B$15,0)</f>
        <v/>
      </c>
      <c r="I20" s="38">
        <f>AO20*(1-Assumptions!$B$61)</f>
        <v/>
      </c>
      <c r="J20" s="38">
        <f>M19</f>
        <v/>
      </c>
      <c r="K20" s="40">
        <f>IFERROR(J20/Assumptions!$B$17,0)</f>
        <v/>
      </c>
      <c r="L20" s="40">
        <f>J20*Assumptions!$B$20/12</f>
        <v/>
      </c>
      <c r="M20" s="41">
        <f>MAX(J20+I20-K20-L20,0)</f>
        <v/>
      </c>
      <c r="N20" s="40">
        <f>(J20+M20)/2</f>
        <v/>
      </c>
      <c r="O20" s="38">
        <f>N20*Assumptions!$B$18/12</f>
        <v/>
      </c>
      <c r="P20" s="38">
        <f>I20*Assumptions!$B$19</f>
        <v/>
      </c>
      <c r="Q20" s="41">
        <f>O20+P20</f>
        <v/>
      </c>
      <c r="R20" s="38">
        <f>Assumptions!$B$33*(1+Assumptions!$B$34)^(C20-1)/12</f>
        <v/>
      </c>
      <c r="S20" s="40">
        <f>L20</f>
        <v/>
      </c>
      <c r="T20" s="40">
        <f>Q20-R20-S20-AP20</f>
        <v/>
      </c>
      <c r="U20" s="40">
        <f>MIN(AE20,M20*Assumptions!$B$24/(1+Assumptions!$B$24))</f>
        <v/>
      </c>
      <c r="V20" s="38">
        <f>((U20+U19)/2)*Assumptions!$B$23/12</f>
        <v/>
      </c>
      <c r="W20" s="41">
        <f>T20-V20+AJ20</f>
        <v/>
      </c>
      <c r="X20" s="40">
        <f>X19+W20</f>
        <v/>
      </c>
      <c r="Y20" s="40">
        <f>MAX(M20-U20,0)</f>
        <v/>
      </c>
      <c r="Z20" s="38">
        <f>R20*Assumptions!$B$25</f>
        <v/>
      </c>
      <c r="AA20" s="41">
        <f>Y20+Z20</f>
        <v/>
      </c>
      <c r="AB20" s="40">
        <f>MAX(AB19,AA20)</f>
        <v/>
      </c>
      <c r="AC20" s="41" t="n">
        <v>0</v>
      </c>
      <c r="AD20" s="41">
        <f>AK20+AC20</f>
        <v/>
      </c>
      <c r="AE20" s="102">
        <f>IF(SUM($H$4:H20)&lt;Assumptions!$B$57,0,MAX(MAX(Assumptions!$B$44,AE19),IF(M20*Assumptions!$B$24/(1+Assumptions!$B$24)&gt;MAX(Assumptions!$B$44,AE19)*Assumptions!$B$53,M20*Assumptions!$B$24/(1+Assumptions!$B$24)/Assumptions!$B$54,MAX(Assumptions!$B$44,AE19))))</f>
        <v/>
      </c>
      <c r="AF20" s="102">
        <f>U20-U19</f>
        <v/>
      </c>
      <c r="AG20" s="103">
        <f>IFERROR(U20/AE20,0)</f>
        <v/>
      </c>
      <c r="AH20" s="102">
        <f>MAX(0,AE20-AE19)</f>
        <v/>
      </c>
      <c r="AI20" s="102">
        <f>MAX(AD19-Z20,0)</f>
        <v/>
      </c>
      <c r="AJ20" s="102">
        <f>AI20*Assumptions!$B$46/12</f>
        <v/>
      </c>
      <c r="AK20" s="102">
        <f>AD19+Q20-R20-I20+K20+AF20-V20+AJ20-AP20</f>
        <v/>
      </c>
      <c r="AL20" s="104">
        <f>TRIM(IF(AH20&gt;0,"Increase warehouse facility to $"&amp;TEXT(AE20,"#,##0")&amp;" (from $"&amp;TEXT(AE19,"#,##0")&amp;"). ","")&amp;IF(AC20&gt;0,"Raise ~$"&amp;TEXT(AC20,"#,##0")&amp;" of equity — annual raise, funds the next 12 months.",""))</f>
        <v/>
      </c>
      <c r="AM20" s="102">
        <f>Q20-R20-I20+K20+AF20-V20-AP20</f>
        <v/>
      </c>
      <c r="AN20" s="132">
        <f>SUM($H$4:H20)</f>
        <v/>
      </c>
      <c r="AO20" s="102">
        <f>H20*Assumptions!$B$16</f>
        <v/>
      </c>
      <c r="AP20" s="102">
        <f>MAX(AO20*Assumptions!$B$62,Assumptions!$B$63)+Assumptions!$B$64/12</f>
        <v/>
      </c>
      <c r="AQ20" s="102">
        <f>(O20+P20)*Assumptions!$B$61/(1-Assumptions!$B$61)</f>
        <v/>
      </c>
    </row>
    <row r="21" ht="15" customHeight="1" s="85">
      <c r="A21" s="58" t="n">
        <v>18</v>
      </c>
      <c r="B21" s="59">
        <f>EDATE(Assumptions!$B$4,17)</f>
        <v/>
      </c>
      <c r="C21" s="66">
        <f>INT((A21-1)/12)+1</f>
        <v/>
      </c>
      <c r="D21" s="62">
        <f>IF(C21=1,Assumptions!$B$6,IF(C21=2,Assumptions!$B$7,IF(C21=3,Assumptions!$B$8,IF(C21=4,Assumptions!$B$9,Assumptions!$B$10))))</f>
        <v/>
      </c>
      <c r="E21" s="62">
        <f>ROUND(F20*Assumptions!$B$11,0)</f>
        <v/>
      </c>
      <c r="F21" s="62">
        <f>F20+D21-E21</f>
        <v/>
      </c>
      <c r="G21" s="62">
        <f>ROUND(F21*Assumptions!$B$14*(365/12/7),0)</f>
        <v/>
      </c>
      <c r="H21" s="62">
        <f>ROUND(G21*Assumptions!$B$15,0)</f>
        <v/>
      </c>
      <c r="I21" s="63">
        <f>AO21*(1-Assumptions!$B$61)</f>
        <v/>
      </c>
      <c r="J21" s="63">
        <f>M20</f>
        <v/>
      </c>
      <c r="K21" s="68">
        <f>IFERROR(J21/Assumptions!$B$17,0)</f>
        <v/>
      </c>
      <c r="L21" s="68">
        <f>J21*Assumptions!$B$20/12</f>
        <v/>
      </c>
      <c r="M21" s="67">
        <f>MAX(J21+I21-K21-L21,0)</f>
        <v/>
      </c>
      <c r="N21" s="68">
        <f>(J21+M21)/2</f>
        <v/>
      </c>
      <c r="O21" s="63">
        <f>N21*Assumptions!$B$18/12</f>
        <v/>
      </c>
      <c r="P21" s="63">
        <f>I21*Assumptions!$B$19</f>
        <v/>
      </c>
      <c r="Q21" s="67">
        <f>O21+P21</f>
        <v/>
      </c>
      <c r="R21" s="63">
        <f>Assumptions!$B$33*(1+Assumptions!$B$34)^(C21-1)/12</f>
        <v/>
      </c>
      <c r="S21" s="68">
        <f>L21</f>
        <v/>
      </c>
      <c r="T21" s="68">
        <f>Q21-R21-S21-AP21</f>
        <v/>
      </c>
      <c r="U21" s="68">
        <f>MIN(AE21,M21*Assumptions!$B$24/(1+Assumptions!$B$24))</f>
        <v/>
      </c>
      <c r="V21" s="63">
        <f>((U21+U20)/2)*Assumptions!$B$23/12</f>
        <v/>
      </c>
      <c r="W21" s="67">
        <f>T21-V21+AJ21</f>
        <v/>
      </c>
      <c r="X21" s="68">
        <f>X20+W21</f>
        <v/>
      </c>
      <c r="Y21" s="68">
        <f>MAX(M21-U21,0)</f>
        <v/>
      </c>
      <c r="Z21" s="63">
        <f>R21*Assumptions!$B$25</f>
        <v/>
      </c>
      <c r="AA21" s="67">
        <f>Y21+Z21</f>
        <v/>
      </c>
      <c r="AB21" s="68">
        <f>MAX(AB20,AA21)</f>
        <v/>
      </c>
      <c r="AC21" s="67" t="n">
        <v>0</v>
      </c>
      <c r="AD21" s="67">
        <f>AK21+AC21</f>
        <v/>
      </c>
      <c r="AE21" s="102">
        <f>IF(SUM($H$4:H21)&lt;Assumptions!$B$57,0,MAX(MAX(Assumptions!$B$44,AE20),IF(M21*Assumptions!$B$24/(1+Assumptions!$B$24)&gt;MAX(Assumptions!$B$44,AE20)*Assumptions!$B$53,M21*Assumptions!$B$24/(1+Assumptions!$B$24)/Assumptions!$B$54,MAX(Assumptions!$B$44,AE20))))</f>
        <v/>
      </c>
      <c r="AF21" s="102">
        <f>U21-U20</f>
        <v/>
      </c>
      <c r="AG21" s="103">
        <f>IFERROR(U21/AE21,0)</f>
        <v/>
      </c>
      <c r="AH21" s="102">
        <f>MAX(0,AE21-AE20)</f>
        <v/>
      </c>
      <c r="AI21" s="102">
        <f>MAX(AD20-Z21,0)</f>
        <v/>
      </c>
      <c r="AJ21" s="102">
        <f>AI21*Assumptions!$B$46/12</f>
        <v/>
      </c>
      <c r="AK21" s="102">
        <f>AD20+Q21-R21-I21+K21+AF21-V21+AJ21-AP21</f>
        <v/>
      </c>
      <c r="AL21" s="104">
        <f>TRIM(IF(AH21&gt;0,"Increase warehouse facility to $"&amp;TEXT(AE21,"#,##0")&amp;" (from $"&amp;TEXT(AE20,"#,##0")&amp;"). ","")&amp;IF(AC21&gt;0,"Raise ~$"&amp;TEXT(AC21,"#,##0")&amp;" of equity — annual raise, funds the next 12 months.",""))</f>
        <v/>
      </c>
      <c r="AM21" s="102">
        <f>Q21-R21-I21+K21+AF21-V21-AP21</f>
        <v/>
      </c>
      <c r="AN21" s="132">
        <f>SUM($H$4:H21)</f>
        <v/>
      </c>
      <c r="AO21" s="102">
        <f>H21*Assumptions!$B$16</f>
        <v/>
      </c>
      <c r="AP21" s="102">
        <f>MAX(AO21*Assumptions!$B$62,Assumptions!$B$63)+Assumptions!$B$64/12</f>
        <v/>
      </c>
      <c r="AQ21" s="102">
        <f>(O21+P21)*Assumptions!$B$61/(1-Assumptions!$B$61)</f>
        <v/>
      </c>
    </row>
    <row r="22" ht="15" customHeight="1" s="85">
      <c r="A22" s="46" t="n">
        <v>19</v>
      </c>
      <c r="B22" s="32">
        <f>EDATE(Assumptions!$B$4,18)</f>
        <v/>
      </c>
      <c r="C22" s="47">
        <f>INT((A22-1)/12)+1</f>
        <v/>
      </c>
      <c r="D22" s="36">
        <f>IF(C22=1,Assumptions!$B$6,IF(C22=2,Assumptions!$B$7,IF(C22=3,Assumptions!$B$8,IF(C22=4,Assumptions!$B$9,Assumptions!$B$10))))</f>
        <v/>
      </c>
      <c r="E22" s="36">
        <f>ROUND(F21*Assumptions!$B$11,0)</f>
        <v/>
      </c>
      <c r="F22" s="36">
        <f>F21+D22-E22</f>
        <v/>
      </c>
      <c r="G22" s="36">
        <f>ROUND(F22*Assumptions!$B$14*(365/12/7),0)</f>
        <v/>
      </c>
      <c r="H22" s="36">
        <f>ROUND(G22*Assumptions!$B$15,0)</f>
        <v/>
      </c>
      <c r="I22" s="38">
        <f>AO22*(1-Assumptions!$B$61)</f>
        <v/>
      </c>
      <c r="J22" s="38">
        <f>M21</f>
        <v/>
      </c>
      <c r="K22" s="40">
        <f>IFERROR(J22/Assumptions!$B$17,0)</f>
        <v/>
      </c>
      <c r="L22" s="40">
        <f>J22*Assumptions!$B$20/12</f>
        <v/>
      </c>
      <c r="M22" s="41">
        <f>MAX(J22+I22-K22-L22,0)</f>
        <v/>
      </c>
      <c r="N22" s="40">
        <f>(J22+M22)/2</f>
        <v/>
      </c>
      <c r="O22" s="38">
        <f>N22*Assumptions!$B$18/12</f>
        <v/>
      </c>
      <c r="P22" s="38">
        <f>I22*Assumptions!$B$19</f>
        <v/>
      </c>
      <c r="Q22" s="41">
        <f>O22+P22</f>
        <v/>
      </c>
      <c r="R22" s="38">
        <f>Assumptions!$B$33*(1+Assumptions!$B$34)^(C22-1)/12</f>
        <v/>
      </c>
      <c r="S22" s="40">
        <f>L22</f>
        <v/>
      </c>
      <c r="T22" s="40">
        <f>Q22-R22-S22-AP22</f>
        <v/>
      </c>
      <c r="U22" s="40">
        <f>MIN(AE22,M22*Assumptions!$B$24/(1+Assumptions!$B$24))</f>
        <v/>
      </c>
      <c r="V22" s="38">
        <f>((U22+U21)/2)*Assumptions!$B$23/12</f>
        <v/>
      </c>
      <c r="W22" s="41">
        <f>T22-V22+AJ22</f>
        <v/>
      </c>
      <c r="X22" s="40">
        <f>X21+W22</f>
        <v/>
      </c>
      <c r="Y22" s="40">
        <f>MAX(M22-U22,0)</f>
        <v/>
      </c>
      <c r="Z22" s="38">
        <f>R22*Assumptions!$B$25</f>
        <v/>
      </c>
      <c r="AA22" s="41">
        <f>Y22+Z22</f>
        <v/>
      </c>
      <c r="AB22" s="40">
        <f>MAX(AB21,AA22)</f>
        <v/>
      </c>
      <c r="AC22" s="41" t="n">
        <v>0</v>
      </c>
      <c r="AD22" s="41">
        <f>AK22+AC22</f>
        <v/>
      </c>
      <c r="AE22" s="102">
        <f>IF(SUM($H$4:H22)&lt;Assumptions!$B$57,0,MAX(MAX(Assumptions!$B$44,AE21),IF(M22*Assumptions!$B$24/(1+Assumptions!$B$24)&gt;MAX(Assumptions!$B$44,AE21)*Assumptions!$B$53,M22*Assumptions!$B$24/(1+Assumptions!$B$24)/Assumptions!$B$54,MAX(Assumptions!$B$44,AE21))))</f>
        <v/>
      </c>
      <c r="AF22" s="102">
        <f>U22-U21</f>
        <v/>
      </c>
      <c r="AG22" s="103">
        <f>IFERROR(U22/AE22,0)</f>
        <v/>
      </c>
      <c r="AH22" s="102">
        <f>MAX(0,AE22-AE21)</f>
        <v/>
      </c>
      <c r="AI22" s="102">
        <f>MAX(AD21-Z22,0)</f>
        <v/>
      </c>
      <c r="AJ22" s="102">
        <f>AI22*Assumptions!$B$46/12</f>
        <v/>
      </c>
      <c r="AK22" s="102">
        <f>AD21+Q22-R22-I22+K22+AF22-V22+AJ22-AP22</f>
        <v/>
      </c>
      <c r="AL22" s="104">
        <f>TRIM(IF(AH22&gt;0,"Increase warehouse facility to $"&amp;TEXT(AE22,"#,##0")&amp;" (from $"&amp;TEXT(AE21,"#,##0")&amp;"). ","")&amp;IF(AC22&gt;0,"Raise ~$"&amp;TEXT(AC22,"#,##0")&amp;" of equity — annual raise, funds the next 12 months.",""))</f>
        <v/>
      </c>
      <c r="AM22" s="102">
        <f>Q22-R22-I22+K22+AF22-V22-AP22</f>
        <v/>
      </c>
      <c r="AN22" s="132">
        <f>SUM($H$4:H22)</f>
        <v/>
      </c>
      <c r="AO22" s="102">
        <f>H22*Assumptions!$B$16</f>
        <v/>
      </c>
      <c r="AP22" s="102">
        <f>MAX(AO22*Assumptions!$B$62,Assumptions!$B$63)+Assumptions!$B$64/12</f>
        <v/>
      </c>
      <c r="AQ22" s="102">
        <f>(O22+P22)*Assumptions!$B$61/(1-Assumptions!$B$61)</f>
        <v/>
      </c>
    </row>
    <row r="23" ht="15" customHeight="1" s="85">
      <c r="A23" s="58" t="n">
        <v>20</v>
      </c>
      <c r="B23" s="59">
        <f>EDATE(Assumptions!$B$4,19)</f>
        <v/>
      </c>
      <c r="C23" s="66">
        <f>INT((A23-1)/12)+1</f>
        <v/>
      </c>
      <c r="D23" s="62">
        <f>IF(C23=1,Assumptions!$B$6,IF(C23=2,Assumptions!$B$7,IF(C23=3,Assumptions!$B$8,IF(C23=4,Assumptions!$B$9,Assumptions!$B$10))))</f>
        <v/>
      </c>
      <c r="E23" s="62">
        <f>ROUND(F22*Assumptions!$B$11,0)</f>
        <v/>
      </c>
      <c r="F23" s="62">
        <f>F22+D23-E23</f>
        <v/>
      </c>
      <c r="G23" s="62">
        <f>ROUND(F23*Assumptions!$B$14*(365/12/7),0)</f>
        <v/>
      </c>
      <c r="H23" s="62">
        <f>ROUND(G23*Assumptions!$B$15,0)</f>
        <v/>
      </c>
      <c r="I23" s="63">
        <f>AO23*(1-Assumptions!$B$61)</f>
        <v/>
      </c>
      <c r="J23" s="63">
        <f>M22</f>
        <v/>
      </c>
      <c r="K23" s="68">
        <f>IFERROR(J23/Assumptions!$B$17,0)</f>
        <v/>
      </c>
      <c r="L23" s="68">
        <f>J23*Assumptions!$B$20/12</f>
        <v/>
      </c>
      <c r="M23" s="67">
        <f>MAX(J23+I23-K23-L23,0)</f>
        <v/>
      </c>
      <c r="N23" s="68">
        <f>(J23+M23)/2</f>
        <v/>
      </c>
      <c r="O23" s="63">
        <f>N23*Assumptions!$B$18/12</f>
        <v/>
      </c>
      <c r="P23" s="63">
        <f>I23*Assumptions!$B$19</f>
        <v/>
      </c>
      <c r="Q23" s="67">
        <f>O23+P23</f>
        <v/>
      </c>
      <c r="R23" s="63">
        <f>Assumptions!$B$33*(1+Assumptions!$B$34)^(C23-1)/12</f>
        <v/>
      </c>
      <c r="S23" s="68">
        <f>L23</f>
        <v/>
      </c>
      <c r="T23" s="68">
        <f>Q23-R23-S23-AP23</f>
        <v/>
      </c>
      <c r="U23" s="68">
        <f>MIN(AE23,M23*Assumptions!$B$24/(1+Assumptions!$B$24))</f>
        <v/>
      </c>
      <c r="V23" s="63">
        <f>((U23+U22)/2)*Assumptions!$B$23/12</f>
        <v/>
      </c>
      <c r="W23" s="67">
        <f>T23-V23+AJ23</f>
        <v/>
      </c>
      <c r="X23" s="68">
        <f>X22+W23</f>
        <v/>
      </c>
      <c r="Y23" s="68">
        <f>MAX(M23-U23,0)</f>
        <v/>
      </c>
      <c r="Z23" s="63">
        <f>R23*Assumptions!$B$25</f>
        <v/>
      </c>
      <c r="AA23" s="67">
        <f>Y23+Z23</f>
        <v/>
      </c>
      <c r="AB23" s="68">
        <f>MAX(AB22,AA23)</f>
        <v/>
      </c>
      <c r="AC23" s="67" t="n">
        <v>0</v>
      </c>
      <c r="AD23" s="67">
        <f>AK23+AC23</f>
        <v/>
      </c>
      <c r="AE23" s="102">
        <f>IF(SUM($H$4:H23)&lt;Assumptions!$B$57,0,MAX(MAX(Assumptions!$B$44,AE22),IF(M23*Assumptions!$B$24/(1+Assumptions!$B$24)&gt;MAX(Assumptions!$B$44,AE22)*Assumptions!$B$53,M23*Assumptions!$B$24/(1+Assumptions!$B$24)/Assumptions!$B$54,MAX(Assumptions!$B$44,AE22))))</f>
        <v/>
      </c>
      <c r="AF23" s="102">
        <f>U23-U22</f>
        <v/>
      </c>
      <c r="AG23" s="103">
        <f>IFERROR(U23/AE23,0)</f>
        <v/>
      </c>
      <c r="AH23" s="102">
        <f>MAX(0,AE23-AE22)</f>
        <v/>
      </c>
      <c r="AI23" s="102">
        <f>MAX(AD22-Z23,0)</f>
        <v/>
      </c>
      <c r="AJ23" s="102">
        <f>AI23*Assumptions!$B$46/12</f>
        <v/>
      </c>
      <c r="AK23" s="102">
        <f>AD22+Q23-R23-I23+K23+AF23-V23+AJ23-AP23</f>
        <v/>
      </c>
      <c r="AL23" s="104">
        <f>TRIM(IF(AH23&gt;0,"Increase warehouse facility to $"&amp;TEXT(AE23,"#,##0")&amp;" (from $"&amp;TEXT(AE22,"#,##0")&amp;"). ","")&amp;IF(AC23&gt;0,"Raise ~$"&amp;TEXT(AC23,"#,##0")&amp;" of equity — annual raise, funds the next 12 months.",""))</f>
        <v/>
      </c>
      <c r="AM23" s="102">
        <f>Q23-R23-I23+K23+AF23-V23-AP23</f>
        <v/>
      </c>
      <c r="AN23" s="132">
        <f>SUM($H$4:H23)</f>
        <v/>
      </c>
      <c r="AO23" s="102">
        <f>H23*Assumptions!$B$16</f>
        <v/>
      </c>
      <c r="AP23" s="102">
        <f>MAX(AO23*Assumptions!$B$62,Assumptions!$B$63)+Assumptions!$B$64/12</f>
        <v/>
      </c>
      <c r="AQ23" s="102">
        <f>(O23+P23)*Assumptions!$B$61/(1-Assumptions!$B$61)</f>
        <v/>
      </c>
    </row>
    <row r="24" ht="15" customHeight="1" s="85">
      <c r="A24" s="46" t="n">
        <v>21</v>
      </c>
      <c r="B24" s="32">
        <f>EDATE(Assumptions!$B$4,20)</f>
        <v/>
      </c>
      <c r="C24" s="47">
        <f>INT((A24-1)/12)+1</f>
        <v/>
      </c>
      <c r="D24" s="36">
        <f>IF(C24=1,Assumptions!$B$6,IF(C24=2,Assumptions!$B$7,IF(C24=3,Assumptions!$B$8,IF(C24=4,Assumptions!$B$9,Assumptions!$B$10))))</f>
        <v/>
      </c>
      <c r="E24" s="36">
        <f>ROUND(F23*Assumptions!$B$11,0)</f>
        <v/>
      </c>
      <c r="F24" s="36">
        <f>F23+D24-E24</f>
        <v/>
      </c>
      <c r="G24" s="36">
        <f>ROUND(F24*Assumptions!$B$14*(365/12/7),0)</f>
        <v/>
      </c>
      <c r="H24" s="36">
        <f>ROUND(G24*Assumptions!$B$15,0)</f>
        <v/>
      </c>
      <c r="I24" s="38">
        <f>AO24*(1-Assumptions!$B$61)</f>
        <v/>
      </c>
      <c r="J24" s="38">
        <f>M23</f>
        <v/>
      </c>
      <c r="K24" s="40">
        <f>IFERROR(J24/Assumptions!$B$17,0)</f>
        <v/>
      </c>
      <c r="L24" s="40">
        <f>J24*Assumptions!$B$20/12</f>
        <v/>
      </c>
      <c r="M24" s="41">
        <f>MAX(J24+I24-K24-L24,0)</f>
        <v/>
      </c>
      <c r="N24" s="40">
        <f>(J24+M24)/2</f>
        <v/>
      </c>
      <c r="O24" s="38">
        <f>N24*Assumptions!$B$18/12</f>
        <v/>
      </c>
      <c r="P24" s="38">
        <f>I24*Assumptions!$B$19</f>
        <v/>
      </c>
      <c r="Q24" s="41">
        <f>O24+P24</f>
        <v/>
      </c>
      <c r="R24" s="38">
        <f>Assumptions!$B$33*(1+Assumptions!$B$34)^(C24-1)/12</f>
        <v/>
      </c>
      <c r="S24" s="40">
        <f>L24</f>
        <v/>
      </c>
      <c r="T24" s="40">
        <f>Q24-R24-S24-AP24</f>
        <v/>
      </c>
      <c r="U24" s="40">
        <f>MIN(AE24,M24*Assumptions!$B$24/(1+Assumptions!$B$24))</f>
        <v/>
      </c>
      <c r="V24" s="38">
        <f>((U24+U23)/2)*Assumptions!$B$23/12</f>
        <v/>
      </c>
      <c r="W24" s="41">
        <f>T24-V24+AJ24</f>
        <v/>
      </c>
      <c r="X24" s="40">
        <f>X23+W24</f>
        <v/>
      </c>
      <c r="Y24" s="40">
        <f>MAX(M24-U24,0)</f>
        <v/>
      </c>
      <c r="Z24" s="38">
        <f>R24*Assumptions!$B$25</f>
        <v/>
      </c>
      <c r="AA24" s="41">
        <f>Y24+Z24</f>
        <v/>
      </c>
      <c r="AB24" s="40">
        <f>MAX(AB23,AA24)</f>
        <v/>
      </c>
      <c r="AC24" s="41" t="n">
        <v>0</v>
      </c>
      <c r="AD24" s="41">
        <f>AK24+AC24</f>
        <v/>
      </c>
      <c r="AE24" s="102">
        <f>IF(SUM($H$4:H24)&lt;Assumptions!$B$57,0,MAX(MAX(Assumptions!$B$44,AE23),IF(M24*Assumptions!$B$24/(1+Assumptions!$B$24)&gt;MAX(Assumptions!$B$44,AE23)*Assumptions!$B$53,M24*Assumptions!$B$24/(1+Assumptions!$B$24)/Assumptions!$B$54,MAX(Assumptions!$B$44,AE23))))</f>
        <v/>
      </c>
      <c r="AF24" s="102">
        <f>U24-U23</f>
        <v/>
      </c>
      <c r="AG24" s="103">
        <f>IFERROR(U24/AE24,0)</f>
        <v/>
      </c>
      <c r="AH24" s="102">
        <f>MAX(0,AE24-AE23)</f>
        <v/>
      </c>
      <c r="AI24" s="102">
        <f>MAX(AD23-Z24,0)</f>
        <v/>
      </c>
      <c r="AJ24" s="102">
        <f>AI24*Assumptions!$B$46/12</f>
        <v/>
      </c>
      <c r="AK24" s="102">
        <f>AD23+Q24-R24-I24+K24+AF24-V24+AJ24-AP24</f>
        <v/>
      </c>
      <c r="AL24" s="104">
        <f>TRIM(IF(AH24&gt;0,"Increase warehouse facility to $"&amp;TEXT(AE24,"#,##0")&amp;" (from $"&amp;TEXT(AE23,"#,##0")&amp;"). ","")&amp;IF(AC24&gt;0,"Raise ~$"&amp;TEXT(AC24,"#,##0")&amp;" of equity — annual raise, funds the next 12 months.",""))</f>
        <v/>
      </c>
      <c r="AM24" s="102">
        <f>Q24-R24-I24+K24+AF24-V24-AP24</f>
        <v/>
      </c>
      <c r="AN24" s="132">
        <f>SUM($H$4:H24)</f>
        <v/>
      </c>
      <c r="AO24" s="102">
        <f>H24*Assumptions!$B$16</f>
        <v/>
      </c>
      <c r="AP24" s="102">
        <f>MAX(AO24*Assumptions!$B$62,Assumptions!$B$63)+Assumptions!$B$64/12</f>
        <v/>
      </c>
      <c r="AQ24" s="102">
        <f>(O24+P24)*Assumptions!$B$61/(1-Assumptions!$B$61)</f>
        <v/>
      </c>
    </row>
    <row r="25" ht="15" customHeight="1" s="85">
      <c r="A25" s="58" t="n">
        <v>22</v>
      </c>
      <c r="B25" s="59">
        <f>EDATE(Assumptions!$B$4,21)</f>
        <v/>
      </c>
      <c r="C25" s="66">
        <f>INT((A25-1)/12)+1</f>
        <v/>
      </c>
      <c r="D25" s="62">
        <f>IF(C25=1,Assumptions!$B$6,IF(C25=2,Assumptions!$B$7,IF(C25=3,Assumptions!$B$8,IF(C25=4,Assumptions!$B$9,Assumptions!$B$10))))</f>
        <v/>
      </c>
      <c r="E25" s="62">
        <f>ROUND(F24*Assumptions!$B$11,0)</f>
        <v/>
      </c>
      <c r="F25" s="62">
        <f>F24+D25-E25</f>
        <v/>
      </c>
      <c r="G25" s="62">
        <f>ROUND(F25*Assumptions!$B$14*(365/12/7),0)</f>
        <v/>
      </c>
      <c r="H25" s="62">
        <f>ROUND(G25*Assumptions!$B$15,0)</f>
        <v/>
      </c>
      <c r="I25" s="63">
        <f>AO25*(1-Assumptions!$B$61)</f>
        <v/>
      </c>
      <c r="J25" s="63">
        <f>M24</f>
        <v/>
      </c>
      <c r="K25" s="68">
        <f>IFERROR(J25/Assumptions!$B$17,0)</f>
        <v/>
      </c>
      <c r="L25" s="68">
        <f>J25*Assumptions!$B$20/12</f>
        <v/>
      </c>
      <c r="M25" s="67">
        <f>MAX(J25+I25-K25-L25,0)</f>
        <v/>
      </c>
      <c r="N25" s="68">
        <f>(J25+M25)/2</f>
        <v/>
      </c>
      <c r="O25" s="63">
        <f>N25*Assumptions!$B$18/12</f>
        <v/>
      </c>
      <c r="P25" s="63">
        <f>I25*Assumptions!$B$19</f>
        <v/>
      </c>
      <c r="Q25" s="67">
        <f>O25+P25</f>
        <v/>
      </c>
      <c r="R25" s="63">
        <f>Assumptions!$B$33*(1+Assumptions!$B$34)^(C25-1)/12</f>
        <v/>
      </c>
      <c r="S25" s="68">
        <f>L25</f>
        <v/>
      </c>
      <c r="T25" s="68">
        <f>Q25-R25-S25-AP25</f>
        <v/>
      </c>
      <c r="U25" s="68">
        <f>MIN(AE25,M25*Assumptions!$B$24/(1+Assumptions!$B$24))</f>
        <v/>
      </c>
      <c r="V25" s="63">
        <f>((U25+U24)/2)*Assumptions!$B$23/12</f>
        <v/>
      </c>
      <c r="W25" s="67">
        <f>T25-V25+AJ25</f>
        <v/>
      </c>
      <c r="X25" s="68">
        <f>X24+W25</f>
        <v/>
      </c>
      <c r="Y25" s="68">
        <f>MAX(M25-U25,0)</f>
        <v/>
      </c>
      <c r="Z25" s="63">
        <f>R25*Assumptions!$B$25</f>
        <v/>
      </c>
      <c r="AA25" s="67">
        <f>Y25+Z25</f>
        <v/>
      </c>
      <c r="AB25" s="68">
        <f>MAX(AB24,AA25)</f>
        <v/>
      </c>
      <c r="AC25" s="67" t="n">
        <v>0</v>
      </c>
      <c r="AD25" s="67">
        <f>AK25+AC25</f>
        <v/>
      </c>
      <c r="AE25" s="102">
        <f>IF(SUM($H$4:H25)&lt;Assumptions!$B$57,0,MAX(MAX(Assumptions!$B$44,AE24),IF(M25*Assumptions!$B$24/(1+Assumptions!$B$24)&gt;MAX(Assumptions!$B$44,AE24)*Assumptions!$B$53,M25*Assumptions!$B$24/(1+Assumptions!$B$24)/Assumptions!$B$54,MAX(Assumptions!$B$44,AE24))))</f>
        <v/>
      </c>
      <c r="AF25" s="102">
        <f>U25-U24</f>
        <v/>
      </c>
      <c r="AG25" s="103">
        <f>IFERROR(U25/AE25,0)</f>
        <v/>
      </c>
      <c r="AH25" s="102">
        <f>MAX(0,AE25-AE24)</f>
        <v/>
      </c>
      <c r="AI25" s="102">
        <f>MAX(AD24-Z25,0)</f>
        <v/>
      </c>
      <c r="AJ25" s="102">
        <f>AI25*Assumptions!$B$46/12</f>
        <v/>
      </c>
      <c r="AK25" s="102">
        <f>AD24+Q25-R25-I25+K25+AF25-V25+AJ25-AP25</f>
        <v/>
      </c>
      <c r="AL25" s="104">
        <f>TRIM(IF(AH25&gt;0,"Increase warehouse facility to $"&amp;TEXT(AE25,"#,##0")&amp;" (from $"&amp;TEXT(AE24,"#,##0")&amp;"). ","")&amp;IF(AC25&gt;0,"Raise ~$"&amp;TEXT(AC25,"#,##0")&amp;" of equity — annual raise, funds the next 12 months.",""))</f>
        <v/>
      </c>
      <c r="AM25" s="102">
        <f>Q25-R25-I25+K25+AF25-V25-AP25</f>
        <v/>
      </c>
      <c r="AN25" s="132">
        <f>SUM($H$4:H25)</f>
        <v/>
      </c>
      <c r="AO25" s="102">
        <f>H25*Assumptions!$B$16</f>
        <v/>
      </c>
      <c r="AP25" s="102">
        <f>MAX(AO25*Assumptions!$B$62,Assumptions!$B$63)+Assumptions!$B$64/12</f>
        <v/>
      </c>
      <c r="AQ25" s="102">
        <f>(O25+P25)*Assumptions!$B$61/(1-Assumptions!$B$61)</f>
        <v/>
      </c>
    </row>
    <row r="26" ht="15" customHeight="1" s="85">
      <c r="A26" s="46" t="n">
        <v>23</v>
      </c>
      <c r="B26" s="32">
        <f>EDATE(Assumptions!$B$4,22)</f>
        <v/>
      </c>
      <c r="C26" s="47">
        <f>INT((A26-1)/12)+1</f>
        <v/>
      </c>
      <c r="D26" s="36">
        <f>IF(C26=1,Assumptions!$B$6,IF(C26=2,Assumptions!$B$7,IF(C26=3,Assumptions!$B$8,IF(C26=4,Assumptions!$B$9,Assumptions!$B$10))))</f>
        <v/>
      </c>
      <c r="E26" s="36">
        <f>ROUND(F25*Assumptions!$B$11,0)</f>
        <v/>
      </c>
      <c r="F26" s="36">
        <f>F25+D26-E26</f>
        <v/>
      </c>
      <c r="G26" s="36">
        <f>ROUND(F26*Assumptions!$B$14*(365/12/7),0)</f>
        <v/>
      </c>
      <c r="H26" s="36">
        <f>ROUND(G26*Assumptions!$B$15,0)</f>
        <v/>
      </c>
      <c r="I26" s="38">
        <f>AO26*(1-Assumptions!$B$61)</f>
        <v/>
      </c>
      <c r="J26" s="38">
        <f>M25</f>
        <v/>
      </c>
      <c r="K26" s="40">
        <f>IFERROR(J26/Assumptions!$B$17,0)</f>
        <v/>
      </c>
      <c r="L26" s="40">
        <f>J26*Assumptions!$B$20/12</f>
        <v/>
      </c>
      <c r="M26" s="41">
        <f>MAX(J26+I26-K26-L26,0)</f>
        <v/>
      </c>
      <c r="N26" s="40">
        <f>(J26+M26)/2</f>
        <v/>
      </c>
      <c r="O26" s="38">
        <f>N26*Assumptions!$B$18/12</f>
        <v/>
      </c>
      <c r="P26" s="38">
        <f>I26*Assumptions!$B$19</f>
        <v/>
      </c>
      <c r="Q26" s="41">
        <f>O26+P26</f>
        <v/>
      </c>
      <c r="R26" s="38">
        <f>Assumptions!$B$33*(1+Assumptions!$B$34)^(C26-1)/12</f>
        <v/>
      </c>
      <c r="S26" s="40">
        <f>L26</f>
        <v/>
      </c>
      <c r="T26" s="40">
        <f>Q26-R26-S26-AP26</f>
        <v/>
      </c>
      <c r="U26" s="40">
        <f>MIN(AE26,M26*Assumptions!$B$24/(1+Assumptions!$B$24))</f>
        <v/>
      </c>
      <c r="V26" s="38">
        <f>((U26+U25)/2)*Assumptions!$B$23/12</f>
        <v/>
      </c>
      <c r="W26" s="41">
        <f>T26-V26+AJ26</f>
        <v/>
      </c>
      <c r="X26" s="40">
        <f>X25+W26</f>
        <v/>
      </c>
      <c r="Y26" s="40">
        <f>MAX(M26-U26,0)</f>
        <v/>
      </c>
      <c r="Z26" s="38">
        <f>R26*Assumptions!$B$25</f>
        <v/>
      </c>
      <c r="AA26" s="41">
        <f>Y26+Z26</f>
        <v/>
      </c>
      <c r="AB26" s="40">
        <f>MAX(AB25,AA26)</f>
        <v/>
      </c>
      <c r="AC26" s="41" t="n">
        <v>0</v>
      </c>
      <c r="AD26" s="41">
        <f>AK26+AC26</f>
        <v/>
      </c>
      <c r="AE26" s="102">
        <f>IF(SUM($H$4:H26)&lt;Assumptions!$B$57,0,MAX(MAX(Assumptions!$B$44,AE25),IF(M26*Assumptions!$B$24/(1+Assumptions!$B$24)&gt;MAX(Assumptions!$B$44,AE25)*Assumptions!$B$53,M26*Assumptions!$B$24/(1+Assumptions!$B$24)/Assumptions!$B$54,MAX(Assumptions!$B$44,AE25))))</f>
        <v/>
      </c>
      <c r="AF26" s="102">
        <f>U26-U25</f>
        <v/>
      </c>
      <c r="AG26" s="103">
        <f>IFERROR(U26/AE26,0)</f>
        <v/>
      </c>
      <c r="AH26" s="102">
        <f>MAX(0,AE26-AE25)</f>
        <v/>
      </c>
      <c r="AI26" s="102">
        <f>MAX(AD25-Z26,0)</f>
        <v/>
      </c>
      <c r="AJ26" s="102">
        <f>AI26*Assumptions!$B$46/12</f>
        <v/>
      </c>
      <c r="AK26" s="102">
        <f>AD25+Q26-R26-I26+K26+AF26-V26+AJ26-AP26</f>
        <v/>
      </c>
      <c r="AL26" s="104">
        <f>TRIM(IF(AH26&gt;0,"Increase warehouse facility to $"&amp;TEXT(AE26,"#,##0")&amp;" (from $"&amp;TEXT(AE25,"#,##0")&amp;"). ","")&amp;IF(AC26&gt;0,"Raise ~$"&amp;TEXT(AC26,"#,##0")&amp;" of equity — annual raise, funds the next 12 months.",""))</f>
        <v/>
      </c>
      <c r="AM26" s="102">
        <f>Q26-R26-I26+K26+AF26-V26-AP26</f>
        <v/>
      </c>
      <c r="AN26" s="132">
        <f>SUM($H$4:H26)</f>
        <v/>
      </c>
      <c r="AO26" s="102">
        <f>H26*Assumptions!$B$16</f>
        <v/>
      </c>
      <c r="AP26" s="102">
        <f>MAX(AO26*Assumptions!$B$62,Assumptions!$B$63)+Assumptions!$B$64/12</f>
        <v/>
      </c>
      <c r="AQ26" s="102">
        <f>(O26+P26)*Assumptions!$B$61/(1-Assumptions!$B$61)</f>
        <v/>
      </c>
    </row>
    <row r="27" ht="15" customHeight="1" s="85">
      <c r="A27" s="58" t="n">
        <v>24</v>
      </c>
      <c r="B27" s="59">
        <f>EDATE(Assumptions!$B$4,23)</f>
        <v/>
      </c>
      <c r="C27" s="66">
        <f>INT((A27-1)/12)+1</f>
        <v/>
      </c>
      <c r="D27" s="62">
        <f>IF(C27=1,Assumptions!$B$6,IF(C27=2,Assumptions!$B$7,IF(C27=3,Assumptions!$B$8,IF(C27=4,Assumptions!$B$9,Assumptions!$B$10))))</f>
        <v/>
      </c>
      <c r="E27" s="62">
        <f>ROUND(F26*Assumptions!$B$11,0)</f>
        <v/>
      </c>
      <c r="F27" s="62">
        <f>F26+D27-E27</f>
        <v/>
      </c>
      <c r="G27" s="62">
        <f>ROUND(F27*Assumptions!$B$14*(365/12/7),0)</f>
        <v/>
      </c>
      <c r="H27" s="62">
        <f>ROUND(G27*Assumptions!$B$15,0)</f>
        <v/>
      </c>
      <c r="I27" s="63">
        <f>AO27*(1-Assumptions!$B$61)</f>
        <v/>
      </c>
      <c r="J27" s="63">
        <f>M26</f>
        <v/>
      </c>
      <c r="K27" s="68">
        <f>IFERROR(J27/Assumptions!$B$17,0)</f>
        <v/>
      </c>
      <c r="L27" s="68">
        <f>J27*Assumptions!$B$20/12</f>
        <v/>
      </c>
      <c r="M27" s="67">
        <f>MAX(J27+I27-K27-L27,0)</f>
        <v/>
      </c>
      <c r="N27" s="68">
        <f>(J27+M27)/2</f>
        <v/>
      </c>
      <c r="O27" s="63">
        <f>N27*Assumptions!$B$18/12</f>
        <v/>
      </c>
      <c r="P27" s="63">
        <f>I27*Assumptions!$B$19</f>
        <v/>
      </c>
      <c r="Q27" s="67">
        <f>O27+P27</f>
        <v/>
      </c>
      <c r="R27" s="63">
        <f>Assumptions!$B$33*(1+Assumptions!$B$34)^(C27-1)/12</f>
        <v/>
      </c>
      <c r="S27" s="68">
        <f>L27</f>
        <v/>
      </c>
      <c r="T27" s="68">
        <f>Q27-R27-S27-AP27</f>
        <v/>
      </c>
      <c r="U27" s="68">
        <f>MIN(AE27,M27*Assumptions!$B$24/(1+Assumptions!$B$24))</f>
        <v/>
      </c>
      <c r="V27" s="63">
        <f>((U27+U26)/2)*Assumptions!$B$23/12</f>
        <v/>
      </c>
      <c r="W27" s="67">
        <f>T27-V27+AJ27</f>
        <v/>
      </c>
      <c r="X27" s="68">
        <f>X26+W27</f>
        <v/>
      </c>
      <c r="Y27" s="68">
        <f>MAX(M27-U27,0)</f>
        <v/>
      </c>
      <c r="Z27" s="63">
        <f>R27*Assumptions!$B$25</f>
        <v/>
      </c>
      <c r="AA27" s="67">
        <f>Y27+Z27</f>
        <v/>
      </c>
      <c r="AB27" s="68">
        <f>MAX(AB26,AA27)</f>
        <v/>
      </c>
      <c r="AC27" s="67" t="n">
        <v>0</v>
      </c>
      <c r="AD27" s="67">
        <f>AK27+AC27</f>
        <v/>
      </c>
      <c r="AE27" s="102">
        <f>IF(SUM($H$4:H27)&lt;Assumptions!$B$57,0,MAX(MAX(Assumptions!$B$44,AE26),IF(M27*Assumptions!$B$24/(1+Assumptions!$B$24)&gt;MAX(Assumptions!$B$44,AE26)*Assumptions!$B$53,M27*Assumptions!$B$24/(1+Assumptions!$B$24)/Assumptions!$B$54,MAX(Assumptions!$B$44,AE26))))</f>
        <v/>
      </c>
      <c r="AF27" s="102">
        <f>U27-U26</f>
        <v/>
      </c>
      <c r="AG27" s="103">
        <f>IFERROR(U27/AE27,0)</f>
        <v/>
      </c>
      <c r="AH27" s="102">
        <f>MAX(0,AE27-AE26)</f>
        <v/>
      </c>
      <c r="AI27" s="102">
        <f>MAX(AD26-Z27,0)</f>
        <v/>
      </c>
      <c r="AJ27" s="102">
        <f>AI27*Assumptions!$B$46/12</f>
        <v/>
      </c>
      <c r="AK27" s="102">
        <f>AD26+Q27-R27-I27+K27+AF27-V27+AJ27-AP27</f>
        <v/>
      </c>
      <c r="AL27" s="104">
        <f>TRIM(IF(AH27&gt;0,"Increase warehouse facility to $"&amp;TEXT(AE27,"#,##0")&amp;" (from $"&amp;TEXT(AE26,"#,##0")&amp;"). ","")&amp;IF(AC27&gt;0,"Raise ~$"&amp;TEXT(AC27,"#,##0")&amp;" of equity — annual raise, funds the next 12 months.",""))</f>
        <v/>
      </c>
      <c r="AM27" s="102">
        <f>Q27-R27-I27+K27+AF27-V27-AP27</f>
        <v/>
      </c>
      <c r="AN27" s="132">
        <f>SUM($H$4:H27)</f>
        <v/>
      </c>
      <c r="AO27" s="102">
        <f>H27*Assumptions!$B$16</f>
        <v/>
      </c>
      <c r="AP27" s="102">
        <f>MAX(AO27*Assumptions!$B$62,Assumptions!$B$63)+Assumptions!$B$64/12</f>
        <v/>
      </c>
      <c r="AQ27" s="102">
        <f>(O27+P27)*Assumptions!$B$61/(1-Assumptions!$B$61)</f>
        <v/>
      </c>
    </row>
    <row r="28" ht="15" customHeight="1" s="85">
      <c r="A28" s="46" t="n">
        <v>25</v>
      </c>
      <c r="B28" s="32">
        <f>EDATE(Assumptions!$B$4,24)</f>
        <v/>
      </c>
      <c r="C28" s="47">
        <f>INT((A28-1)/12)+1</f>
        <v/>
      </c>
      <c r="D28" s="36">
        <f>IF(C28=1,Assumptions!$B$6,IF(C28=2,Assumptions!$B$7,IF(C28=3,Assumptions!$B$8,IF(C28=4,Assumptions!$B$9,Assumptions!$B$10))))</f>
        <v/>
      </c>
      <c r="E28" s="36">
        <f>ROUND(F27*Assumptions!$B$11,0)</f>
        <v/>
      </c>
      <c r="F28" s="36">
        <f>F27+D28-E28</f>
        <v/>
      </c>
      <c r="G28" s="36">
        <f>ROUND(F28*Assumptions!$B$14*(365/12/7),0)</f>
        <v/>
      </c>
      <c r="H28" s="36">
        <f>ROUND(G28*Assumptions!$B$15,0)</f>
        <v/>
      </c>
      <c r="I28" s="38">
        <f>AO28*(1-Assumptions!$B$61)</f>
        <v/>
      </c>
      <c r="J28" s="38">
        <f>M27</f>
        <v/>
      </c>
      <c r="K28" s="40">
        <f>IFERROR(J28/Assumptions!$B$17,0)</f>
        <v/>
      </c>
      <c r="L28" s="40">
        <f>J28*Assumptions!$B$20/12</f>
        <v/>
      </c>
      <c r="M28" s="41">
        <f>MAX(J28+I28-K28-L28,0)</f>
        <v/>
      </c>
      <c r="N28" s="40">
        <f>(J28+M28)/2</f>
        <v/>
      </c>
      <c r="O28" s="38">
        <f>N28*Assumptions!$B$18/12</f>
        <v/>
      </c>
      <c r="P28" s="38">
        <f>I28*Assumptions!$B$19</f>
        <v/>
      </c>
      <c r="Q28" s="41">
        <f>O28+P28</f>
        <v/>
      </c>
      <c r="R28" s="38">
        <f>Assumptions!$B$33*(1+Assumptions!$B$34)^(C28-1)/12</f>
        <v/>
      </c>
      <c r="S28" s="40">
        <f>L28</f>
        <v/>
      </c>
      <c r="T28" s="40">
        <f>Q28-R28-S28-AP28</f>
        <v/>
      </c>
      <c r="U28" s="40">
        <f>MIN(AE28,M28*Assumptions!$B$24/(1+Assumptions!$B$24))</f>
        <v/>
      </c>
      <c r="V28" s="38">
        <f>((U28+U27)/2)*Assumptions!$B$23/12</f>
        <v/>
      </c>
      <c r="W28" s="41">
        <f>T28-V28+AJ28</f>
        <v/>
      </c>
      <c r="X28" s="40">
        <f>X27+W28</f>
        <v/>
      </c>
      <c r="Y28" s="40">
        <f>MAX(M28-U28,0)</f>
        <v/>
      </c>
      <c r="Z28" s="38">
        <f>R28*Assumptions!$B$25</f>
        <v/>
      </c>
      <c r="AA28" s="41">
        <f>Y28+Z28</f>
        <v/>
      </c>
      <c r="AB28" s="40">
        <f>MAX(AB27,AA28)</f>
        <v/>
      </c>
      <c r="AC28" s="41">
        <f>MAX(0,MAX(Z28-AD27-AM28,Z29-AD27-SUM(AM28:AM29),Z30-AD27-SUM(AM28:AM30),Z31-AD27-SUM(AM28:AM31),Z32-AD27-SUM(AM28:AM32),Z33-AD27-SUM(AM28:AM33),Z34-AD27-SUM(AM28:AM34),Z35-AD27-SUM(AM28:AM35),Z36-AD27-SUM(AM28:AM36),Z37-AD27-SUM(AM28:AM37),Z38-AD27-SUM(AM28:AM38),Z39-AD27-SUM(AM28:AM39)))</f>
        <v/>
      </c>
      <c r="AD28" s="41">
        <f>AK28+AC28</f>
        <v/>
      </c>
      <c r="AE28" s="102">
        <f>IF(SUM($H$4:H28)&lt;Assumptions!$B$57,0,MAX(MAX(Assumptions!$B$44,AE27),IF(M28*Assumptions!$B$24/(1+Assumptions!$B$24)&gt;MAX(Assumptions!$B$44,AE27)*Assumptions!$B$53,M28*Assumptions!$B$24/(1+Assumptions!$B$24)/Assumptions!$B$54,MAX(Assumptions!$B$44,AE27))))</f>
        <v/>
      </c>
      <c r="AF28" s="102">
        <f>U28-U27</f>
        <v/>
      </c>
      <c r="AG28" s="103">
        <f>IFERROR(U28/AE28,0)</f>
        <v/>
      </c>
      <c r="AH28" s="102">
        <f>MAX(0,AE28-AE27)</f>
        <v/>
      </c>
      <c r="AI28" s="102">
        <f>MAX(AD27-Z28,0)</f>
        <v/>
      </c>
      <c r="AJ28" s="102">
        <f>AI28*Assumptions!$B$46/12</f>
        <v/>
      </c>
      <c r="AK28" s="102">
        <f>AD27+Q28-R28-I28+K28+AF28-V28+AJ28-AP28</f>
        <v/>
      </c>
      <c r="AL28" s="104">
        <f>TRIM(IF(AH28&gt;0,"Increase warehouse facility to $"&amp;TEXT(AE28,"#,##0")&amp;" (from $"&amp;TEXT(AE27,"#,##0")&amp;"). ","")&amp;IF(AC28&gt;0,"Raise ~$"&amp;TEXT(AC28,"#,##0")&amp;" of equity — annual raise, funds the next 12 months.",""))</f>
        <v/>
      </c>
      <c r="AM28" s="102">
        <f>Q28-R28-I28+K28+AF28-V28-AP28</f>
        <v/>
      </c>
      <c r="AN28" s="132">
        <f>SUM($H$4:H28)</f>
        <v/>
      </c>
      <c r="AO28" s="102">
        <f>H28*Assumptions!$B$16</f>
        <v/>
      </c>
      <c r="AP28" s="102">
        <f>MAX(AO28*Assumptions!$B$62,Assumptions!$B$63)+Assumptions!$B$64/12</f>
        <v/>
      </c>
      <c r="AQ28" s="102">
        <f>(O28+P28)*Assumptions!$B$61/(1-Assumptions!$B$61)</f>
        <v/>
      </c>
    </row>
    <row r="29" ht="15" customHeight="1" s="85">
      <c r="A29" s="58" t="n">
        <v>26</v>
      </c>
      <c r="B29" s="59">
        <f>EDATE(Assumptions!$B$4,25)</f>
        <v/>
      </c>
      <c r="C29" s="66">
        <f>INT((A29-1)/12)+1</f>
        <v/>
      </c>
      <c r="D29" s="62">
        <f>IF(C29=1,Assumptions!$B$6,IF(C29=2,Assumptions!$B$7,IF(C29=3,Assumptions!$B$8,IF(C29=4,Assumptions!$B$9,Assumptions!$B$10))))</f>
        <v/>
      </c>
      <c r="E29" s="62">
        <f>ROUND(F28*Assumptions!$B$11,0)</f>
        <v/>
      </c>
      <c r="F29" s="62">
        <f>F28+D29-E29</f>
        <v/>
      </c>
      <c r="G29" s="62">
        <f>ROUND(F29*Assumptions!$B$14*(365/12/7),0)</f>
        <v/>
      </c>
      <c r="H29" s="62">
        <f>ROUND(G29*Assumptions!$B$15,0)</f>
        <v/>
      </c>
      <c r="I29" s="63">
        <f>AO29*(1-Assumptions!$B$61)</f>
        <v/>
      </c>
      <c r="J29" s="63">
        <f>M28</f>
        <v/>
      </c>
      <c r="K29" s="68">
        <f>IFERROR(J29/Assumptions!$B$17,0)</f>
        <v/>
      </c>
      <c r="L29" s="68">
        <f>J29*Assumptions!$B$20/12</f>
        <v/>
      </c>
      <c r="M29" s="67">
        <f>MAX(J29+I29-K29-L29,0)</f>
        <v/>
      </c>
      <c r="N29" s="68">
        <f>(J29+M29)/2</f>
        <v/>
      </c>
      <c r="O29" s="63">
        <f>N29*Assumptions!$B$18/12</f>
        <v/>
      </c>
      <c r="P29" s="63">
        <f>I29*Assumptions!$B$19</f>
        <v/>
      </c>
      <c r="Q29" s="67">
        <f>O29+P29</f>
        <v/>
      </c>
      <c r="R29" s="63">
        <f>Assumptions!$B$33*(1+Assumptions!$B$34)^(C29-1)/12</f>
        <v/>
      </c>
      <c r="S29" s="68">
        <f>L29</f>
        <v/>
      </c>
      <c r="T29" s="68">
        <f>Q29-R29-S29-AP29</f>
        <v/>
      </c>
      <c r="U29" s="68">
        <f>MIN(AE29,M29*Assumptions!$B$24/(1+Assumptions!$B$24))</f>
        <v/>
      </c>
      <c r="V29" s="63">
        <f>((U29+U28)/2)*Assumptions!$B$23/12</f>
        <v/>
      </c>
      <c r="W29" s="67">
        <f>T29-V29+AJ29</f>
        <v/>
      </c>
      <c r="X29" s="68">
        <f>X28+W29</f>
        <v/>
      </c>
      <c r="Y29" s="68">
        <f>MAX(M29-U29,0)</f>
        <v/>
      </c>
      <c r="Z29" s="63">
        <f>R29*Assumptions!$B$25</f>
        <v/>
      </c>
      <c r="AA29" s="67">
        <f>Y29+Z29</f>
        <v/>
      </c>
      <c r="AB29" s="68">
        <f>MAX(AB28,AA29)</f>
        <v/>
      </c>
      <c r="AC29" s="67" t="n">
        <v>0</v>
      </c>
      <c r="AD29" s="67">
        <f>AK29+AC29</f>
        <v/>
      </c>
      <c r="AE29" s="102">
        <f>IF(SUM($H$4:H29)&lt;Assumptions!$B$57,0,MAX(MAX(Assumptions!$B$44,AE28),IF(M29*Assumptions!$B$24/(1+Assumptions!$B$24)&gt;MAX(Assumptions!$B$44,AE28)*Assumptions!$B$53,M29*Assumptions!$B$24/(1+Assumptions!$B$24)/Assumptions!$B$54,MAX(Assumptions!$B$44,AE28))))</f>
        <v/>
      </c>
      <c r="AF29" s="102">
        <f>U29-U28</f>
        <v/>
      </c>
      <c r="AG29" s="103">
        <f>IFERROR(U29/AE29,0)</f>
        <v/>
      </c>
      <c r="AH29" s="102">
        <f>MAX(0,AE29-AE28)</f>
        <v/>
      </c>
      <c r="AI29" s="102">
        <f>MAX(AD28-Z29,0)</f>
        <v/>
      </c>
      <c r="AJ29" s="102">
        <f>AI29*Assumptions!$B$46/12</f>
        <v/>
      </c>
      <c r="AK29" s="102">
        <f>AD28+Q29-R29-I29+K29+AF29-V29+AJ29-AP29</f>
        <v/>
      </c>
      <c r="AL29" s="104">
        <f>TRIM(IF(AH29&gt;0,"Increase warehouse facility to $"&amp;TEXT(AE29,"#,##0")&amp;" (from $"&amp;TEXT(AE28,"#,##0")&amp;"). ","")&amp;IF(AC29&gt;0,"Raise ~$"&amp;TEXT(AC29,"#,##0")&amp;" of equity — annual raise, funds the next 12 months.",""))</f>
        <v/>
      </c>
      <c r="AM29" s="102">
        <f>Q29-R29-I29+K29+AF29-V29-AP29</f>
        <v/>
      </c>
      <c r="AN29" s="132">
        <f>SUM($H$4:H29)</f>
        <v/>
      </c>
      <c r="AO29" s="102">
        <f>H29*Assumptions!$B$16</f>
        <v/>
      </c>
      <c r="AP29" s="102">
        <f>MAX(AO29*Assumptions!$B$62,Assumptions!$B$63)+Assumptions!$B$64/12</f>
        <v/>
      </c>
      <c r="AQ29" s="102">
        <f>(O29+P29)*Assumptions!$B$61/(1-Assumptions!$B$61)</f>
        <v/>
      </c>
    </row>
    <row r="30" ht="15" customHeight="1" s="85">
      <c r="A30" s="46" t="n">
        <v>27</v>
      </c>
      <c r="B30" s="32">
        <f>EDATE(Assumptions!$B$4,26)</f>
        <v/>
      </c>
      <c r="C30" s="47">
        <f>INT((A30-1)/12)+1</f>
        <v/>
      </c>
      <c r="D30" s="36">
        <f>IF(C30=1,Assumptions!$B$6,IF(C30=2,Assumptions!$B$7,IF(C30=3,Assumptions!$B$8,IF(C30=4,Assumptions!$B$9,Assumptions!$B$10))))</f>
        <v/>
      </c>
      <c r="E30" s="36">
        <f>ROUND(F29*Assumptions!$B$11,0)</f>
        <v/>
      </c>
      <c r="F30" s="36">
        <f>F29+D30-E30</f>
        <v/>
      </c>
      <c r="G30" s="36">
        <f>ROUND(F30*Assumptions!$B$14*(365/12/7),0)</f>
        <v/>
      </c>
      <c r="H30" s="36">
        <f>ROUND(G30*Assumptions!$B$15,0)</f>
        <v/>
      </c>
      <c r="I30" s="38">
        <f>AO30*(1-Assumptions!$B$61)</f>
        <v/>
      </c>
      <c r="J30" s="38">
        <f>M29</f>
        <v/>
      </c>
      <c r="K30" s="40">
        <f>IFERROR(J30/Assumptions!$B$17,0)</f>
        <v/>
      </c>
      <c r="L30" s="40">
        <f>J30*Assumptions!$B$20/12</f>
        <v/>
      </c>
      <c r="M30" s="41">
        <f>MAX(J30+I30-K30-L30,0)</f>
        <v/>
      </c>
      <c r="N30" s="40">
        <f>(J30+M30)/2</f>
        <v/>
      </c>
      <c r="O30" s="38">
        <f>N30*Assumptions!$B$18/12</f>
        <v/>
      </c>
      <c r="P30" s="38">
        <f>I30*Assumptions!$B$19</f>
        <v/>
      </c>
      <c r="Q30" s="41">
        <f>O30+P30</f>
        <v/>
      </c>
      <c r="R30" s="38">
        <f>Assumptions!$B$33*(1+Assumptions!$B$34)^(C30-1)/12</f>
        <v/>
      </c>
      <c r="S30" s="40">
        <f>L30</f>
        <v/>
      </c>
      <c r="T30" s="40">
        <f>Q30-R30-S30-AP30</f>
        <v/>
      </c>
      <c r="U30" s="40">
        <f>MIN(AE30,M30*Assumptions!$B$24/(1+Assumptions!$B$24))</f>
        <v/>
      </c>
      <c r="V30" s="38">
        <f>((U30+U29)/2)*Assumptions!$B$23/12</f>
        <v/>
      </c>
      <c r="W30" s="41">
        <f>T30-V30+AJ30</f>
        <v/>
      </c>
      <c r="X30" s="40">
        <f>X29+W30</f>
        <v/>
      </c>
      <c r="Y30" s="40">
        <f>MAX(M30-U30,0)</f>
        <v/>
      </c>
      <c r="Z30" s="38">
        <f>R30*Assumptions!$B$25</f>
        <v/>
      </c>
      <c r="AA30" s="41">
        <f>Y30+Z30</f>
        <v/>
      </c>
      <c r="AB30" s="40">
        <f>MAX(AB29,AA30)</f>
        <v/>
      </c>
      <c r="AC30" s="41" t="n">
        <v>0</v>
      </c>
      <c r="AD30" s="41">
        <f>AK30+AC30</f>
        <v/>
      </c>
      <c r="AE30" s="102">
        <f>IF(SUM($H$4:H30)&lt;Assumptions!$B$57,0,MAX(MAX(Assumptions!$B$44,AE29),IF(M30*Assumptions!$B$24/(1+Assumptions!$B$24)&gt;MAX(Assumptions!$B$44,AE29)*Assumptions!$B$53,M30*Assumptions!$B$24/(1+Assumptions!$B$24)/Assumptions!$B$54,MAX(Assumptions!$B$44,AE29))))</f>
        <v/>
      </c>
      <c r="AF30" s="102">
        <f>U30-U29</f>
        <v/>
      </c>
      <c r="AG30" s="103">
        <f>IFERROR(U30/AE30,0)</f>
        <v/>
      </c>
      <c r="AH30" s="102">
        <f>MAX(0,AE30-AE29)</f>
        <v/>
      </c>
      <c r="AI30" s="102">
        <f>MAX(AD29-Z30,0)</f>
        <v/>
      </c>
      <c r="AJ30" s="102">
        <f>AI30*Assumptions!$B$46/12</f>
        <v/>
      </c>
      <c r="AK30" s="102">
        <f>AD29+Q30-R30-I30+K30+AF30-V30+AJ30-AP30</f>
        <v/>
      </c>
      <c r="AL30" s="104">
        <f>TRIM(IF(AH30&gt;0,"Increase warehouse facility to $"&amp;TEXT(AE30,"#,##0")&amp;" (from $"&amp;TEXT(AE29,"#,##0")&amp;"). ","")&amp;IF(AC30&gt;0,"Raise ~$"&amp;TEXT(AC30,"#,##0")&amp;" of equity — annual raise, funds the next 12 months.",""))</f>
        <v/>
      </c>
      <c r="AM30" s="102">
        <f>Q30-R30-I30+K30+AF30-V30-AP30</f>
        <v/>
      </c>
      <c r="AN30" s="132">
        <f>SUM($H$4:H30)</f>
        <v/>
      </c>
      <c r="AO30" s="102">
        <f>H30*Assumptions!$B$16</f>
        <v/>
      </c>
      <c r="AP30" s="102">
        <f>MAX(AO30*Assumptions!$B$62,Assumptions!$B$63)+Assumptions!$B$64/12</f>
        <v/>
      </c>
      <c r="AQ30" s="102">
        <f>(O30+P30)*Assumptions!$B$61/(1-Assumptions!$B$61)</f>
        <v/>
      </c>
    </row>
    <row r="31" ht="15" customHeight="1" s="85">
      <c r="A31" s="58" t="n">
        <v>28</v>
      </c>
      <c r="B31" s="59">
        <f>EDATE(Assumptions!$B$4,27)</f>
        <v/>
      </c>
      <c r="C31" s="66">
        <f>INT((A31-1)/12)+1</f>
        <v/>
      </c>
      <c r="D31" s="62">
        <f>IF(C31=1,Assumptions!$B$6,IF(C31=2,Assumptions!$B$7,IF(C31=3,Assumptions!$B$8,IF(C31=4,Assumptions!$B$9,Assumptions!$B$10))))</f>
        <v/>
      </c>
      <c r="E31" s="62">
        <f>ROUND(F30*Assumptions!$B$11,0)</f>
        <v/>
      </c>
      <c r="F31" s="62">
        <f>F30+D31-E31</f>
        <v/>
      </c>
      <c r="G31" s="62">
        <f>ROUND(F31*Assumptions!$B$14*(365/12/7),0)</f>
        <v/>
      </c>
      <c r="H31" s="62">
        <f>ROUND(G31*Assumptions!$B$15,0)</f>
        <v/>
      </c>
      <c r="I31" s="63">
        <f>AO31*(1-Assumptions!$B$61)</f>
        <v/>
      </c>
      <c r="J31" s="63">
        <f>M30</f>
        <v/>
      </c>
      <c r="K31" s="68">
        <f>IFERROR(J31/Assumptions!$B$17,0)</f>
        <v/>
      </c>
      <c r="L31" s="68">
        <f>J31*Assumptions!$B$20/12</f>
        <v/>
      </c>
      <c r="M31" s="67">
        <f>MAX(J31+I31-K31-L31,0)</f>
        <v/>
      </c>
      <c r="N31" s="68">
        <f>(J31+M31)/2</f>
        <v/>
      </c>
      <c r="O31" s="63">
        <f>N31*Assumptions!$B$18/12</f>
        <v/>
      </c>
      <c r="P31" s="63">
        <f>I31*Assumptions!$B$19</f>
        <v/>
      </c>
      <c r="Q31" s="67">
        <f>O31+P31</f>
        <v/>
      </c>
      <c r="R31" s="63">
        <f>Assumptions!$B$33*(1+Assumptions!$B$34)^(C31-1)/12</f>
        <v/>
      </c>
      <c r="S31" s="68">
        <f>L31</f>
        <v/>
      </c>
      <c r="T31" s="68">
        <f>Q31-R31-S31-AP31</f>
        <v/>
      </c>
      <c r="U31" s="68">
        <f>MIN(AE31,M31*Assumptions!$B$24/(1+Assumptions!$B$24))</f>
        <v/>
      </c>
      <c r="V31" s="63">
        <f>((U31+U30)/2)*Assumptions!$B$23/12</f>
        <v/>
      </c>
      <c r="W31" s="67">
        <f>T31-V31+AJ31</f>
        <v/>
      </c>
      <c r="X31" s="68">
        <f>X30+W31</f>
        <v/>
      </c>
      <c r="Y31" s="68">
        <f>MAX(M31-U31,0)</f>
        <v/>
      </c>
      <c r="Z31" s="63">
        <f>R31*Assumptions!$B$25</f>
        <v/>
      </c>
      <c r="AA31" s="67">
        <f>Y31+Z31</f>
        <v/>
      </c>
      <c r="AB31" s="68">
        <f>MAX(AB30,AA31)</f>
        <v/>
      </c>
      <c r="AC31" s="67" t="n">
        <v>0</v>
      </c>
      <c r="AD31" s="67">
        <f>AK31+AC31</f>
        <v/>
      </c>
      <c r="AE31" s="102">
        <f>IF(SUM($H$4:H31)&lt;Assumptions!$B$57,0,MAX(MAX(Assumptions!$B$44,AE30),IF(M31*Assumptions!$B$24/(1+Assumptions!$B$24)&gt;MAX(Assumptions!$B$44,AE30)*Assumptions!$B$53,M31*Assumptions!$B$24/(1+Assumptions!$B$24)/Assumptions!$B$54,MAX(Assumptions!$B$44,AE30))))</f>
        <v/>
      </c>
      <c r="AF31" s="102">
        <f>U31-U30</f>
        <v/>
      </c>
      <c r="AG31" s="103">
        <f>IFERROR(U31/AE31,0)</f>
        <v/>
      </c>
      <c r="AH31" s="102">
        <f>MAX(0,AE31-AE30)</f>
        <v/>
      </c>
      <c r="AI31" s="102">
        <f>MAX(AD30-Z31,0)</f>
        <v/>
      </c>
      <c r="AJ31" s="102">
        <f>AI31*Assumptions!$B$46/12</f>
        <v/>
      </c>
      <c r="AK31" s="102">
        <f>AD30+Q31-R31-I31+K31+AF31-V31+AJ31-AP31</f>
        <v/>
      </c>
      <c r="AL31" s="104">
        <f>TRIM(IF(AH31&gt;0,"Increase warehouse facility to $"&amp;TEXT(AE31,"#,##0")&amp;" (from $"&amp;TEXT(AE30,"#,##0")&amp;"). ","")&amp;IF(AC31&gt;0,"Raise ~$"&amp;TEXT(AC31,"#,##0")&amp;" of equity — annual raise, funds the next 12 months.",""))</f>
        <v/>
      </c>
      <c r="AM31" s="102">
        <f>Q31-R31-I31+K31+AF31-V31-AP31</f>
        <v/>
      </c>
      <c r="AN31" s="132">
        <f>SUM($H$4:H31)</f>
        <v/>
      </c>
      <c r="AO31" s="102">
        <f>H31*Assumptions!$B$16</f>
        <v/>
      </c>
      <c r="AP31" s="102">
        <f>MAX(AO31*Assumptions!$B$62,Assumptions!$B$63)+Assumptions!$B$64/12</f>
        <v/>
      </c>
      <c r="AQ31" s="102">
        <f>(O31+P31)*Assumptions!$B$61/(1-Assumptions!$B$61)</f>
        <v/>
      </c>
    </row>
    <row r="32" ht="15" customHeight="1" s="85">
      <c r="A32" s="46" t="n">
        <v>29</v>
      </c>
      <c r="B32" s="32">
        <f>EDATE(Assumptions!$B$4,28)</f>
        <v/>
      </c>
      <c r="C32" s="47">
        <f>INT((A32-1)/12)+1</f>
        <v/>
      </c>
      <c r="D32" s="36">
        <f>IF(C32=1,Assumptions!$B$6,IF(C32=2,Assumptions!$B$7,IF(C32=3,Assumptions!$B$8,IF(C32=4,Assumptions!$B$9,Assumptions!$B$10))))</f>
        <v/>
      </c>
      <c r="E32" s="36">
        <f>ROUND(F31*Assumptions!$B$11,0)</f>
        <v/>
      </c>
      <c r="F32" s="36">
        <f>F31+D32-E32</f>
        <v/>
      </c>
      <c r="G32" s="36">
        <f>ROUND(F32*Assumptions!$B$14*(365/12/7),0)</f>
        <v/>
      </c>
      <c r="H32" s="36">
        <f>ROUND(G32*Assumptions!$B$15,0)</f>
        <v/>
      </c>
      <c r="I32" s="38">
        <f>AO32*(1-Assumptions!$B$61)</f>
        <v/>
      </c>
      <c r="J32" s="38">
        <f>M31</f>
        <v/>
      </c>
      <c r="K32" s="40">
        <f>IFERROR(J32/Assumptions!$B$17,0)</f>
        <v/>
      </c>
      <c r="L32" s="40">
        <f>J32*Assumptions!$B$20/12</f>
        <v/>
      </c>
      <c r="M32" s="41">
        <f>MAX(J32+I32-K32-L32,0)</f>
        <v/>
      </c>
      <c r="N32" s="40">
        <f>(J32+M32)/2</f>
        <v/>
      </c>
      <c r="O32" s="38">
        <f>N32*Assumptions!$B$18/12</f>
        <v/>
      </c>
      <c r="P32" s="38">
        <f>I32*Assumptions!$B$19</f>
        <v/>
      </c>
      <c r="Q32" s="41">
        <f>O32+P32</f>
        <v/>
      </c>
      <c r="R32" s="38">
        <f>Assumptions!$B$33*(1+Assumptions!$B$34)^(C32-1)/12</f>
        <v/>
      </c>
      <c r="S32" s="40">
        <f>L32</f>
        <v/>
      </c>
      <c r="T32" s="40">
        <f>Q32-R32-S32-AP32</f>
        <v/>
      </c>
      <c r="U32" s="40">
        <f>MIN(AE32,M32*Assumptions!$B$24/(1+Assumptions!$B$24))</f>
        <v/>
      </c>
      <c r="V32" s="38">
        <f>((U32+U31)/2)*Assumptions!$B$23/12</f>
        <v/>
      </c>
      <c r="W32" s="41">
        <f>T32-V32+AJ32</f>
        <v/>
      </c>
      <c r="X32" s="40">
        <f>X31+W32</f>
        <v/>
      </c>
      <c r="Y32" s="40">
        <f>MAX(M32-U32,0)</f>
        <v/>
      </c>
      <c r="Z32" s="38">
        <f>R32*Assumptions!$B$25</f>
        <v/>
      </c>
      <c r="AA32" s="41">
        <f>Y32+Z32</f>
        <v/>
      </c>
      <c r="AB32" s="40">
        <f>MAX(AB31,AA32)</f>
        <v/>
      </c>
      <c r="AC32" s="41" t="n">
        <v>0</v>
      </c>
      <c r="AD32" s="41">
        <f>AK32+AC32</f>
        <v/>
      </c>
      <c r="AE32" s="102">
        <f>IF(SUM($H$4:H32)&lt;Assumptions!$B$57,0,MAX(MAX(Assumptions!$B$44,AE31),IF(M32*Assumptions!$B$24/(1+Assumptions!$B$24)&gt;MAX(Assumptions!$B$44,AE31)*Assumptions!$B$53,M32*Assumptions!$B$24/(1+Assumptions!$B$24)/Assumptions!$B$54,MAX(Assumptions!$B$44,AE31))))</f>
        <v/>
      </c>
      <c r="AF32" s="102">
        <f>U32-U31</f>
        <v/>
      </c>
      <c r="AG32" s="103">
        <f>IFERROR(U32/AE32,0)</f>
        <v/>
      </c>
      <c r="AH32" s="102">
        <f>MAX(0,AE32-AE31)</f>
        <v/>
      </c>
      <c r="AI32" s="102">
        <f>MAX(AD31-Z32,0)</f>
        <v/>
      </c>
      <c r="AJ32" s="102">
        <f>AI32*Assumptions!$B$46/12</f>
        <v/>
      </c>
      <c r="AK32" s="102">
        <f>AD31+Q32-R32-I32+K32+AF32-V32+AJ32-AP32</f>
        <v/>
      </c>
      <c r="AL32" s="104">
        <f>TRIM(IF(AH32&gt;0,"Increase warehouse facility to $"&amp;TEXT(AE32,"#,##0")&amp;" (from $"&amp;TEXT(AE31,"#,##0")&amp;"). ","")&amp;IF(AC32&gt;0,"Raise ~$"&amp;TEXT(AC32,"#,##0")&amp;" of equity — annual raise, funds the next 12 months.",""))</f>
        <v/>
      </c>
      <c r="AM32" s="102">
        <f>Q32-R32-I32+K32+AF32-V32-AP32</f>
        <v/>
      </c>
      <c r="AN32" s="132">
        <f>SUM($H$4:H32)</f>
        <v/>
      </c>
      <c r="AO32" s="102">
        <f>H32*Assumptions!$B$16</f>
        <v/>
      </c>
      <c r="AP32" s="102">
        <f>MAX(AO32*Assumptions!$B$62,Assumptions!$B$63)+Assumptions!$B$64/12</f>
        <v/>
      </c>
      <c r="AQ32" s="102">
        <f>(O32+P32)*Assumptions!$B$61/(1-Assumptions!$B$61)</f>
        <v/>
      </c>
    </row>
    <row r="33" ht="15" customHeight="1" s="85">
      <c r="A33" s="58" t="n">
        <v>30</v>
      </c>
      <c r="B33" s="59">
        <f>EDATE(Assumptions!$B$4,29)</f>
        <v/>
      </c>
      <c r="C33" s="66">
        <f>INT((A33-1)/12)+1</f>
        <v/>
      </c>
      <c r="D33" s="62">
        <f>IF(C33=1,Assumptions!$B$6,IF(C33=2,Assumptions!$B$7,IF(C33=3,Assumptions!$B$8,IF(C33=4,Assumptions!$B$9,Assumptions!$B$10))))</f>
        <v/>
      </c>
      <c r="E33" s="62">
        <f>ROUND(F32*Assumptions!$B$11,0)</f>
        <v/>
      </c>
      <c r="F33" s="62">
        <f>F32+D33-E33</f>
        <v/>
      </c>
      <c r="G33" s="62">
        <f>ROUND(F33*Assumptions!$B$14*(365/12/7),0)</f>
        <v/>
      </c>
      <c r="H33" s="62">
        <f>ROUND(G33*Assumptions!$B$15,0)</f>
        <v/>
      </c>
      <c r="I33" s="63">
        <f>AO33*(1-Assumptions!$B$61)</f>
        <v/>
      </c>
      <c r="J33" s="63">
        <f>M32</f>
        <v/>
      </c>
      <c r="K33" s="68">
        <f>IFERROR(J33/Assumptions!$B$17,0)</f>
        <v/>
      </c>
      <c r="L33" s="68">
        <f>J33*Assumptions!$B$20/12</f>
        <v/>
      </c>
      <c r="M33" s="67">
        <f>MAX(J33+I33-K33-L33,0)</f>
        <v/>
      </c>
      <c r="N33" s="68">
        <f>(J33+M33)/2</f>
        <v/>
      </c>
      <c r="O33" s="63">
        <f>N33*Assumptions!$B$18/12</f>
        <v/>
      </c>
      <c r="P33" s="63">
        <f>I33*Assumptions!$B$19</f>
        <v/>
      </c>
      <c r="Q33" s="67">
        <f>O33+P33</f>
        <v/>
      </c>
      <c r="R33" s="63">
        <f>Assumptions!$B$33*(1+Assumptions!$B$34)^(C33-1)/12</f>
        <v/>
      </c>
      <c r="S33" s="68">
        <f>L33</f>
        <v/>
      </c>
      <c r="T33" s="68">
        <f>Q33-R33-S33-AP33</f>
        <v/>
      </c>
      <c r="U33" s="68">
        <f>MIN(AE33,M33*Assumptions!$B$24/(1+Assumptions!$B$24))</f>
        <v/>
      </c>
      <c r="V33" s="63">
        <f>((U33+U32)/2)*Assumptions!$B$23/12</f>
        <v/>
      </c>
      <c r="W33" s="67">
        <f>T33-V33+AJ33</f>
        <v/>
      </c>
      <c r="X33" s="68">
        <f>X32+W33</f>
        <v/>
      </c>
      <c r="Y33" s="68">
        <f>MAX(M33-U33,0)</f>
        <v/>
      </c>
      <c r="Z33" s="63">
        <f>R33*Assumptions!$B$25</f>
        <v/>
      </c>
      <c r="AA33" s="67">
        <f>Y33+Z33</f>
        <v/>
      </c>
      <c r="AB33" s="68">
        <f>MAX(AB32,AA33)</f>
        <v/>
      </c>
      <c r="AC33" s="67" t="n">
        <v>0</v>
      </c>
      <c r="AD33" s="67">
        <f>AK33+AC33</f>
        <v/>
      </c>
      <c r="AE33" s="102">
        <f>IF(SUM($H$4:H33)&lt;Assumptions!$B$57,0,MAX(MAX(Assumptions!$B$44,AE32),IF(M33*Assumptions!$B$24/(1+Assumptions!$B$24)&gt;MAX(Assumptions!$B$44,AE32)*Assumptions!$B$53,M33*Assumptions!$B$24/(1+Assumptions!$B$24)/Assumptions!$B$54,MAX(Assumptions!$B$44,AE32))))</f>
        <v/>
      </c>
      <c r="AF33" s="102">
        <f>U33-U32</f>
        <v/>
      </c>
      <c r="AG33" s="103">
        <f>IFERROR(U33/AE33,0)</f>
        <v/>
      </c>
      <c r="AH33" s="102">
        <f>MAX(0,AE33-AE32)</f>
        <v/>
      </c>
      <c r="AI33" s="102">
        <f>MAX(AD32-Z33,0)</f>
        <v/>
      </c>
      <c r="AJ33" s="102">
        <f>AI33*Assumptions!$B$46/12</f>
        <v/>
      </c>
      <c r="AK33" s="102">
        <f>AD32+Q33-R33-I33+K33+AF33-V33+AJ33-AP33</f>
        <v/>
      </c>
      <c r="AL33" s="104">
        <f>TRIM(IF(AH33&gt;0,"Increase warehouse facility to $"&amp;TEXT(AE33,"#,##0")&amp;" (from $"&amp;TEXT(AE32,"#,##0")&amp;"). ","")&amp;IF(AC33&gt;0,"Raise ~$"&amp;TEXT(AC33,"#,##0")&amp;" of equity — annual raise, funds the next 12 months.",""))</f>
        <v/>
      </c>
      <c r="AM33" s="102">
        <f>Q33-R33-I33+K33+AF33-V33-AP33</f>
        <v/>
      </c>
      <c r="AN33" s="132">
        <f>SUM($H$4:H33)</f>
        <v/>
      </c>
      <c r="AO33" s="102">
        <f>H33*Assumptions!$B$16</f>
        <v/>
      </c>
      <c r="AP33" s="102">
        <f>MAX(AO33*Assumptions!$B$62,Assumptions!$B$63)+Assumptions!$B$64/12</f>
        <v/>
      </c>
      <c r="AQ33" s="102">
        <f>(O33+P33)*Assumptions!$B$61/(1-Assumptions!$B$61)</f>
        <v/>
      </c>
    </row>
    <row r="34" ht="15" customHeight="1" s="85">
      <c r="A34" s="46" t="n">
        <v>31</v>
      </c>
      <c r="B34" s="32">
        <f>EDATE(Assumptions!$B$4,30)</f>
        <v/>
      </c>
      <c r="C34" s="47">
        <f>INT((A34-1)/12)+1</f>
        <v/>
      </c>
      <c r="D34" s="36">
        <f>IF(C34=1,Assumptions!$B$6,IF(C34=2,Assumptions!$B$7,IF(C34=3,Assumptions!$B$8,IF(C34=4,Assumptions!$B$9,Assumptions!$B$10))))</f>
        <v/>
      </c>
      <c r="E34" s="36">
        <f>ROUND(F33*Assumptions!$B$11,0)</f>
        <v/>
      </c>
      <c r="F34" s="36">
        <f>F33+D34-E34</f>
        <v/>
      </c>
      <c r="G34" s="36">
        <f>ROUND(F34*Assumptions!$B$14*(365/12/7),0)</f>
        <v/>
      </c>
      <c r="H34" s="36">
        <f>ROUND(G34*Assumptions!$B$15,0)</f>
        <v/>
      </c>
      <c r="I34" s="38">
        <f>AO34*(1-Assumptions!$B$61)</f>
        <v/>
      </c>
      <c r="J34" s="38">
        <f>M33</f>
        <v/>
      </c>
      <c r="K34" s="40">
        <f>IFERROR(J34/Assumptions!$B$17,0)</f>
        <v/>
      </c>
      <c r="L34" s="40">
        <f>J34*Assumptions!$B$20/12</f>
        <v/>
      </c>
      <c r="M34" s="41">
        <f>MAX(J34+I34-K34-L34,0)</f>
        <v/>
      </c>
      <c r="N34" s="40">
        <f>(J34+M34)/2</f>
        <v/>
      </c>
      <c r="O34" s="38">
        <f>N34*Assumptions!$B$18/12</f>
        <v/>
      </c>
      <c r="P34" s="38">
        <f>I34*Assumptions!$B$19</f>
        <v/>
      </c>
      <c r="Q34" s="41">
        <f>O34+P34</f>
        <v/>
      </c>
      <c r="R34" s="38">
        <f>Assumptions!$B$33*(1+Assumptions!$B$34)^(C34-1)/12</f>
        <v/>
      </c>
      <c r="S34" s="40">
        <f>L34</f>
        <v/>
      </c>
      <c r="T34" s="40">
        <f>Q34-R34-S34-AP34</f>
        <v/>
      </c>
      <c r="U34" s="40">
        <f>MIN(AE34,M34*Assumptions!$B$24/(1+Assumptions!$B$24))</f>
        <v/>
      </c>
      <c r="V34" s="38">
        <f>((U34+U33)/2)*Assumptions!$B$23/12</f>
        <v/>
      </c>
      <c r="W34" s="41">
        <f>T34-V34+AJ34</f>
        <v/>
      </c>
      <c r="X34" s="40">
        <f>X33+W34</f>
        <v/>
      </c>
      <c r="Y34" s="40">
        <f>MAX(M34-U34,0)</f>
        <v/>
      </c>
      <c r="Z34" s="38">
        <f>R34*Assumptions!$B$25</f>
        <v/>
      </c>
      <c r="AA34" s="41">
        <f>Y34+Z34</f>
        <v/>
      </c>
      <c r="AB34" s="40">
        <f>MAX(AB33,AA34)</f>
        <v/>
      </c>
      <c r="AC34" s="41" t="n">
        <v>0</v>
      </c>
      <c r="AD34" s="41">
        <f>AK34+AC34</f>
        <v/>
      </c>
      <c r="AE34" s="102">
        <f>IF(SUM($H$4:H34)&lt;Assumptions!$B$57,0,MAX(MAX(Assumptions!$B$44,AE33),IF(M34*Assumptions!$B$24/(1+Assumptions!$B$24)&gt;MAX(Assumptions!$B$44,AE33)*Assumptions!$B$53,M34*Assumptions!$B$24/(1+Assumptions!$B$24)/Assumptions!$B$54,MAX(Assumptions!$B$44,AE33))))</f>
        <v/>
      </c>
      <c r="AF34" s="102">
        <f>U34-U33</f>
        <v/>
      </c>
      <c r="AG34" s="103">
        <f>IFERROR(U34/AE34,0)</f>
        <v/>
      </c>
      <c r="AH34" s="102">
        <f>MAX(0,AE34-AE33)</f>
        <v/>
      </c>
      <c r="AI34" s="102">
        <f>MAX(AD33-Z34,0)</f>
        <v/>
      </c>
      <c r="AJ34" s="102">
        <f>AI34*Assumptions!$B$46/12</f>
        <v/>
      </c>
      <c r="AK34" s="102">
        <f>AD33+Q34-R34-I34+K34+AF34-V34+AJ34-AP34</f>
        <v/>
      </c>
      <c r="AL34" s="104">
        <f>TRIM(IF(AH34&gt;0,"Increase warehouse facility to $"&amp;TEXT(AE34,"#,##0")&amp;" (from $"&amp;TEXT(AE33,"#,##0")&amp;"). ","")&amp;IF(AC34&gt;0,"Raise ~$"&amp;TEXT(AC34,"#,##0")&amp;" of equity — annual raise, funds the next 12 months.",""))</f>
        <v/>
      </c>
      <c r="AM34" s="102">
        <f>Q34-R34-I34+K34+AF34-V34-AP34</f>
        <v/>
      </c>
      <c r="AN34" s="132">
        <f>SUM($H$4:H34)</f>
        <v/>
      </c>
      <c r="AO34" s="102">
        <f>H34*Assumptions!$B$16</f>
        <v/>
      </c>
      <c r="AP34" s="102">
        <f>MAX(AO34*Assumptions!$B$62,Assumptions!$B$63)+Assumptions!$B$64/12</f>
        <v/>
      </c>
      <c r="AQ34" s="102">
        <f>(O34+P34)*Assumptions!$B$61/(1-Assumptions!$B$61)</f>
        <v/>
      </c>
    </row>
    <row r="35" ht="15" customHeight="1" s="85">
      <c r="A35" s="58" t="n">
        <v>32</v>
      </c>
      <c r="B35" s="59">
        <f>EDATE(Assumptions!$B$4,31)</f>
        <v/>
      </c>
      <c r="C35" s="66">
        <f>INT((A35-1)/12)+1</f>
        <v/>
      </c>
      <c r="D35" s="62">
        <f>IF(C35=1,Assumptions!$B$6,IF(C35=2,Assumptions!$B$7,IF(C35=3,Assumptions!$B$8,IF(C35=4,Assumptions!$B$9,Assumptions!$B$10))))</f>
        <v/>
      </c>
      <c r="E35" s="62">
        <f>ROUND(F34*Assumptions!$B$11,0)</f>
        <v/>
      </c>
      <c r="F35" s="62">
        <f>F34+D35-E35</f>
        <v/>
      </c>
      <c r="G35" s="62">
        <f>ROUND(F35*Assumptions!$B$14*(365/12/7),0)</f>
        <v/>
      </c>
      <c r="H35" s="62">
        <f>ROUND(G35*Assumptions!$B$15,0)</f>
        <v/>
      </c>
      <c r="I35" s="63">
        <f>AO35*(1-Assumptions!$B$61)</f>
        <v/>
      </c>
      <c r="J35" s="63">
        <f>M34</f>
        <v/>
      </c>
      <c r="K35" s="68">
        <f>IFERROR(J35/Assumptions!$B$17,0)</f>
        <v/>
      </c>
      <c r="L35" s="68">
        <f>J35*Assumptions!$B$20/12</f>
        <v/>
      </c>
      <c r="M35" s="67">
        <f>MAX(J35+I35-K35-L35,0)</f>
        <v/>
      </c>
      <c r="N35" s="68">
        <f>(J35+M35)/2</f>
        <v/>
      </c>
      <c r="O35" s="63">
        <f>N35*Assumptions!$B$18/12</f>
        <v/>
      </c>
      <c r="P35" s="63">
        <f>I35*Assumptions!$B$19</f>
        <v/>
      </c>
      <c r="Q35" s="67">
        <f>O35+P35</f>
        <v/>
      </c>
      <c r="R35" s="63">
        <f>Assumptions!$B$33*(1+Assumptions!$B$34)^(C35-1)/12</f>
        <v/>
      </c>
      <c r="S35" s="68">
        <f>L35</f>
        <v/>
      </c>
      <c r="T35" s="68">
        <f>Q35-R35-S35-AP35</f>
        <v/>
      </c>
      <c r="U35" s="68">
        <f>MIN(AE35,M35*Assumptions!$B$24/(1+Assumptions!$B$24))</f>
        <v/>
      </c>
      <c r="V35" s="63">
        <f>((U35+U34)/2)*Assumptions!$B$23/12</f>
        <v/>
      </c>
      <c r="W35" s="67">
        <f>T35-V35+AJ35</f>
        <v/>
      </c>
      <c r="X35" s="68">
        <f>X34+W35</f>
        <v/>
      </c>
      <c r="Y35" s="68">
        <f>MAX(M35-U35,0)</f>
        <v/>
      </c>
      <c r="Z35" s="63">
        <f>R35*Assumptions!$B$25</f>
        <v/>
      </c>
      <c r="AA35" s="67">
        <f>Y35+Z35</f>
        <v/>
      </c>
      <c r="AB35" s="68">
        <f>MAX(AB34,AA35)</f>
        <v/>
      </c>
      <c r="AC35" s="67" t="n">
        <v>0</v>
      </c>
      <c r="AD35" s="67">
        <f>AK35+AC35</f>
        <v/>
      </c>
      <c r="AE35" s="102">
        <f>IF(SUM($H$4:H35)&lt;Assumptions!$B$57,0,MAX(MAX(Assumptions!$B$44,AE34),IF(M35*Assumptions!$B$24/(1+Assumptions!$B$24)&gt;MAX(Assumptions!$B$44,AE34)*Assumptions!$B$53,M35*Assumptions!$B$24/(1+Assumptions!$B$24)/Assumptions!$B$54,MAX(Assumptions!$B$44,AE34))))</f>
        <v/>
      </c>
      <c r="AF35" s="102">
        <f>U35-U34</f>
        <v/>
      </c>
      <c r="AG35" s="103">
        <f>IFERROR(U35/AE35,0)</f>
        <v/>
      </c>
      <c r="AH35" s="102">
        <f>MAX(0,AE35-AE34)</f>
        <v/>
      </c>
      <c r="AI35" s="102">
        <f>MAX(AD34-Z35,0)</f>
        <v/>
      </c>
      <c r="AJ35" s="102">
        <f>AI35*Assumptions!$B$46/12</f>
        <v/>
      </c>
      <c r="AK35" s="102">
        <f>AD34+Q35-R35-I35+K35+AF35-V35+AJ35-AP35</f>
        <v/>
      </c>
      <c r="AL35" s="104">
        <f>TRIM(IF(AH35&gt;0,"Increase warehouse facility to $"&amp;TEXT(AE35,"#,##0")&amp;" (from $"&amp;TEXT(AE34,"#,##0")&amp;"). ","")&amp;IF(AC35&gt;0,"Raise ~$"&amp;TEXT(AC35,"#,##0")&amp;" of equity — annual raise, funds the next 12 months.",""))</f>
        <v/>
      </c>
      <c r="AM35" s="102">
        <f>Q35-R35-I35+K35+AF35-V35-AP35</f>
        <v/>
      </c>
      <c r="AN35" s="132">
        <f>SUM($H$4:H35)</f>
        <v/>
      </c>
      <c r="AO35" s="102">
        <f>H35*Assumptions!$B$16</f>
        <v/>
      </c>
      <c r="AP35" s="102">
        <f>MAX(AO35*Assumptions!$B$62,Assumptions!$B$63)+Assumptions!$B$64/12</f>
        <v/>
      </c>
      <c r="AQ35" s="102">
        <f>(O35+P35)*Assumptions!$B$61/(1-Assumptions!$B$61)</f>
        <v/>
      </c>
    </row>
    <row r="36" ht="15" customHeight="1" s="85">
      <c r="A36" s="46" t="n">
        <v>33</v>
      </c>
      <c r="B36" s="32">
        <f>EDATE(Assumptions!$B$4,32)</f>
        <v/>
      </c>
      <c r="C36" s="47">
        <f>INT((A36-1)/12)+1</f>
        <v/>
      </c>
      <c r="D36" s="36">
        <f>IF(C36=1,Assumptions!$B$6,IF(C36=2,Assumptions!$B$7,IF(C36=3,Assumptions!$B$8,IF(C36=4,Assumptions!$B$9,Assumptions!$B$10))))</f>
        <v/>
      </c>
      <c r="E36" s="36">
        <f>ROUND(F35*Assumptions!$B$11,0)</f>
        <v/>
      </c>
      <c r="F36" s="36">
        <f>F35+D36-E36</f>
        <v/>
      </c>
      <c r="G36" s="36">
        <f>ROUND(F36*Assumptions!$B$14*(365/12/7),0)</f>
        <v/>
      </c>
      <c r="H36" s="36">
        <f>ROUND(G36*Assumptions!$B$15,0)</f>
        <v/>
      </c>
      <c r="I36" s="38">
        <f>AO36*(1-Assumptions!$B$61)</f>
        <v/>
      </c>
      <c r="J36" s="38">
        <f>M35</f>
        <v/>
      </c>
      <c r="K36" s="40">
        <f>IFERROR(J36/Assumptions!$B$17,0)</f>
        <v/>
      </c>
      <c r="L36" s="40">
        <f>J36*Assumptions!$B$20/12</f>
        <v/>
      </c>
      <c r="M36" s="41">
        <f>MAX(J36+I36-K36-L36,0)</f>
        <v/>
      </c>
      <c r="N36" s="40">
        <f>(J36+M36)/2</f>
        <v/>
      </c>
      <c r="O36" s="38">
        <f>N36*Assumptions!$B$18/12</f>
        <v/>
      </c>
      <c r="P36" s="38">
        <f>I36*Assumptions!$B$19</f>
        <v/>
      </c>
      <c r="Q36" s="41">
        <f>O36+P36</f>
        <v/>
      </c>
      <c r="R36" s="38">
        <f>Assumptions!$B$33*(1+Assumptions!$B$34)^(C36-1)/12</f>
        <v/>
      </c>
      <c r="S36" s="40">
        <f>L36</f>
        <v/>
      </c>
      <c r="T36" s="40">
        <f>Q36-R36-S36-AP36</f>
        <v/>
      </c>
      <c r="U36" s="40">
        <f>MIN(AE36,M36*Assumptions!$B$24/(1+Assumptions!$B$24))</f>
        <v/>
      </c>
      <c r="V36" s="38">
        <f>((U36+U35)/2)*Assumptions!$B$23/12</f>
        <v/>
      </c>
      <c r="W36" s="41">
        <f>T36-V36+AJ36</f>
        <v/>
      </c>
      <c r="X36" s="40">
        <f>X35+W36</f>
        <v/>
      </c>
      <c r="Y36" s="40">
        <f>MAX(M36-U36,0)</f>
        <v/>
      </c>
      <c r="Z36" s="38">
        <f>R36*Assumptions!$B$25</f>
        <v/>
      </c>
      <c r="AA36" s="41">
        <f>Y36+Z36</f>
        <v/>
      </c>
      <c r="AB36" s="40">
        <f>MAX(AB35,AA36)</f>
        <v/>
      </c>
      <c r="AC36" s="41" t="n">
        <v>0</v>
      </c>
      <c r="AD36" s="41">
        <f>AK36+AC36</f>
        <v/>
      </c>
      <c r="AE36" s="102">
        <f>IF(SUM($H$4:H36)&lt;Assumptions!$B$57,0,MAX(MAX(Assumptions!$B$44,AE35),IF(M36*Assumptions!$B$24/(1+Assumptions!$B$24)&gt;MAX(Assumptions!$B$44,AE35)*Assumptions!$B$53,M36*Assumptions!$B$24/(1+Assumptions!$B$24)/Assumptions!$B$54,MAX(Assumptions!$B$44,AE35))))</f>
        <v/>
      </c>
      <c r="AF36" s="102">
        <f>U36-U35</f>
        <v/>
      </c>
      <c r="AG36" s="103">
        <f>IFERROR(U36/AE36,0)</f>
        <v/>
      </c>
      <c r="AH36" s="102">
        <f>MAX(0,AE36-AE35)</f>
        <v/>
      </c>
      <c r="AI36" s="102">
        <f>MAX(AD35-Z36,0)</f>
        <v/>
      </c>
      <c r="AJ36" s="102">
        <f>AI36*Assumptions!$B$46/12</f>
        <v/>
      </c>
      <c r="AK36" s="102">
        <f>AD35+Q36-R36-I36+K36+AF36-V36+AJ36-AP36</f>
        <v/>
      </c>
      <c r="AL36" s="104">
        <f>TRIM(IF(AH36&gt;0,"Increase warehouse facility to $"&amp;TEXT(AE36,"#,##0")&amp;" (from $"&amp;TEXT(AE35,"#,##0")&amp;"). ","")&amp;IF(AC36&gt;0,"Raise ~$"&amp;TEXT(AC36,"#,##0")&amp;" of equity — annual raise, funds the next 12 months.",""))</f>
        <v/>
      </c>
      <c r="AM36" s="102">
        <f>Q36-R36-I36+K36+AF36-V36-AP36</f>
        <v/>
      </c>
      <c r="AN36" s="132">
        <f>SUM($H$4:H36)</f>
        <v/>
      </c>
      <c r="AO36" s="102">
        <f>H36*Assumptions!$B$16</f>
        <v/>
      </c>
      <c r="AP36" s="102">
        <f>MAX(AO36*Assumptions!$B$62,Assumptions!$B$63)+Assumptions!$B$64/12</f>
        <v/>
      </c>
      <c r="AQ36" s="102">
        <f>(O36+P36)*Assumptions!$B$61/(1-Assumptions!$B$61)</f>
        <v/>
      </c>
    </row>
    <row r="37" ht="15" customHeight="1" s="85">
      <c r="A37" s="58" t="n">
        <v>34</v>
      </c>
      <c r="B37" s="59">
        <f>EDATE(Assumptions!$B$4,33)</f>
        <v/>
      </c>
      <c r="C37" s="66">
        <f>INT((A37-1)/12)+1</f>
        <v/>
      </c>
      <c r="D37" s="62">
        <f>IF(C37=1,Assumptions!$B$6,IF(C37=2,Assumptions!$B$7,IF(C37=3,Assumptions!$B$8,IF(C37=4,Assumptions!$B$9,Assumptions!$B$10))))</f>
        <v/>
      </c>
      <c r="E37" s="62">
        <f>ROUND(F36*Assumptions!$B$11,0)</f>
        <v/>
      </c>
      <c r="F37" s="62">
        <f>F36+D37-E37</f>
        <v/>
      </c>
      <c r="G37" s="62">
        <f>ROUND(F37*Assumptions!$B$14*(365/12/7),0)</f>
        <v/>
      </c>
      <c r="H37" s="62">
        <f>ROUND(G37*Assumptions!$B$15,0)</f>
        <v/>
      </c>
      <c r="I37" s="63">
        <f>AO37*(1-Assumptions!$B$61)</f>
        <v/>
      </c>
      <c r="J37" s="63">
        <f>M36</f>
        <v/>
      </c>
      <c r="K37" s="68">
        <f>IFERROR(J37/Assumptions!$B$17,0)</f>
        <v/>
      </c>
      <c r="L37" s="68">
        <f>J37*Assumptions!$B$20/12</f>
        <v/>
      </c>
      <c r="M37" s="67">
        <f>MAX(J37+I37-K37-L37,0)</f>
        <v/>
      </c>
      <c r="N37" s="68">
        <f>(J37+M37)/2</f>
        <v/>
      </c>
      <c r="O37" s="63">
        <f>N37*Assumptions!$B$18/12</f>
        <v/>
      </c>
      <c r="P37" s="63">
        <f>I37*Assumptions!$B$19</f>
        <v/>
      </c>
      <c r="Q37" s="67">
        <f>O37+P37</f>
        <v/>
      </c>
      <c r="R37" s="63">
        <f>Assumptions!$B$33*(1+Assumptions!$B$34)^(C37-1)/12</f>
        <v/>
      </c>
      <c r="S37" s="68">
        <f>L37</f>
        <v/>
      </c>
      <c r="T37" s="68">
        <f>Q37-R37-S37-AP37</f>
        <v/>
      </c>
      <c r="U37" s="68">
        <f>MIN(AE37,M37*Assumptions!$B$24/(1+Assumptions!$B$24))</f>
        <v/>
      </c>
      <c r="V37" s="63">
        <f>((U37+U36)/2)*Assumptions!$B$23/12</f>
        <v/>
      </c>
      <c r="W37" s="67">
        <f>T37-V37+AJ37</f>
        <v/>
      </c>
      <c r="X37" s="68">
        <f>X36+W37</f>
        <v/>
      </c>
      <c r="Y37" s="68">
        <f>MAX(M37-U37,0)</f>
        <v/>
      </c>
      <c r="Z37" s="63">
        <f>R37*Assumptions!$B$25</f>
        <v/>
      </c>
      <c r="AA37" s="67">
        <f>Y37+Z37</f>
        <v/>
      </c>
      <c r="AB37" s="68">
        <f>MAX(AB36,AA37)</f>
        <v/>
      </c>
      <c r="AC37" s="67" t="n">
        <v>0</v>
      </c>
      <c r="AD37" s="67">
        <f>AK37+AC37</f>
        <v/>
      </c>
      <c r="AE37" s="102">
        <f>IF(SUM($H$4:H37)&lt;Assumptions!$B$57,0,MAX(MAX(Assumptions!$B$44,AE36),IF(M37*Assumptions!$B$24/(1+Assumptions!$B$24)&gt;MAX(Assumptions!$B$44,AE36)*Assumptions!$B$53,M37*Assumptions!$B$24/(1+Assumptions!$B$24)/Assumptions!$B$54,MAX(Assumptions!$B$44,AE36))))</f>
        <v/>
      </c>
      <c r="AF37" s="102">
        <f>U37-U36</f>
        <v/>
      </c>
      <c r="AG37" s="103">
        <f>IFERROR(U37/AE37,0)</f>
        <v/>
      </c>
      <c r="AH37" s="102">
        <f>MAX(0,AE37-AE36)</f>
        <v/>
      </c>
      <c r="AI37" s="102">
        <f>MAX(AD36-Z37,0)</f>
        <v/>
      </c>
      <c r="AJ37" s="102">
        <f>AI37*Assumptions!$B$46/12</f>
        <v/>
      </c>
      <c r="AK37" s="102">
        <f>AD36+Q37-R37-I37+K37+AF37-V37+AJ37-AP37</f>
        <v/>
      </c>
      <c r="AL37" s="104">
        <f>TRIM(IF(AH37&gt;0,"Increase warehouse facility to $"&amp;TEXT(AE37,"#,##0")&amp;" (from $"&amp;TEXT(AE36,"#,##0")&amp;"). ","")&amp;IF(AC37&gt;0,"Raise ~$"&amp;TEXT(AC37,"#,##0")&amp;" of equity — annual raise, funds the next 12 months.",""))</f>
        <v/>
      </c>
      <c r="AM37" s="102">
        <f>Q37-R37-I37+K37+AF37-V37-AP37</f>
        <v/>
      </c>
      <c r="AN37" s="132">
        <f>SUM($H$4:H37)</f>
        <v/>
      </c>
      <c r="AO37" s="102">
        <f>H37*Assumptions!$B$16</f>
        <v/>
      </c>
      <c r="AP37" s="102">
        <f>MAX(AO37*Assumptions!$B$62,Assumptions!$B$63)+Assumptions!$B$64/12</f>
        <v/>
      </c>
      <c r="AQ37" s="102">
        <f>(O37+P37)*Assumptions!$B$61/(1-Assumptions!$B$61)</f>
        <v/>
      </c>
    </row>
    <row r="38" ht="15" customHeight="1" s="85">
      <c r="A38" s="46" t="n">
        <v>35</v>
      </c>
      <c r="B38" s="32">
        <f>EDATE(Assumptions!$B$4,34)</f>
        <v/>
      </c>
      <c r="C38" s="47">
        <f>INT((A38-1)/12)+1</f>
        <v/>
      </c>
      <c r="D38" s="36">
        <f>IF(C38=1,Assumptions!$B$6,IF(C38=2,Assumptions!$B$7,IF(C38=3,Assumptions!$B$8,IF(C38=4,Assumptions!$B$9,Assumptions!$B$10))))</f>
        <v/>
      </c>
      <c r="E38" s="36">
        <f>ROUND(F37*Assumptions!$B$11,0)</f>
        <v/>
      </c>
      <c r="F38" s="36">
        <f>F37+D38-E38</f>
        <v/>
      </c>
      <c r="G38" s="36">
        <f>ROUND(F38*Assumptions!$B$14*(365/12/7),0)</f>
        <v/>
      </c>
      <c r="H38" s="36">
        <f>ROUND(G38*Assumptions!$B$15,0)</f>
        <v/>
      </c>
      <c r="I38" s="38">
        <f>AO38*(1-Assumptions!$B$61)</f>
        <v/>
      </c>
      <c r="J38" s="38">
        <f>M37</f>
        <v/>
      </c>
      <c r="K38" s="40">
        <f>IFERROR(J38/Assumptions!$B$17,0)</f>
        <v/>
      </c>
      <c r="L38" s="40">
        <f>J38*Assumptions!$B$20/12</f>
        <v/>
      </c>
      <c r="M38" s="41">
        <f>MAX(J38+I38-K38-L38,0)</f>
        <v/>
      </c>
      <c r="N38" s="40">
        <f>(J38+M38)/2</f>
        <v/>
      </c>
      <c r="O38" s="38">
        <f>N38*Assumptions!$B$18/12</f>
        <v/>
      </c>
      <c r="P38" s="38">
        <f>I38*Assumptions!$B$19</f>
        <v/>
      </c>
      <c r="Q38" s="41">
        <f>O38+P38</f>
        <v/>
      </c>
      <c r="R38" s="38">
        <f>Assumptions!$B$33*(1+Assumptions!$B$34)^(C38-1)/12</f>
        <v/>
      </c>
      <c r="S38" s="40">
        <f>L38</f>
        <v/>
      </c>
      <c r="T38" s="40">
        <f>Q38-R38-S38-AP38</f>
        <v/>
      </c>
      <c r="U38" s="40">
        <f>MIN(AE38,M38*Assumptions!$B$24/(1+Assumptions!$B$24))</f>
        <v/>
      </c>
      <c r="V38" s="38">
        <f>((U38+U37)/2)*Assumptions!$B$23/12</f>
        <v/>
      </c>
      <c r="W38" s="41">
        <f>T38-V38+AJ38</f>
        <v/>
      </c>
      <c r="X38" s="40">
        <f>X37+W38</f>
        <v/>
      </c>
      <c r="Y38" s="40">
        <f>MAX(M38-U38,0)</f>
        <v/>
      </c>
      <c r="Z38" s="38">
        <f>R38*Assumptions!$B$25</f>
        <v/>
      </c>
      <c r="AA38" s="41">
        <f>Y38+Z38</f>
        <v/>
      </c>
      <c r="AB38" s="40">
        <f>MAX(AB37,AA38)</f>
        <v/>
      </c>
      <c r="AC38" s="41" t="n">
        <v>0</v>
      </c>
      <c r="AD38" s="41">
        <f>AK38+AC38</f>
        <v/>
      </c>
      <c r="AE38" s="102">
        <f>IF(SUM($H$4:H38)&lt;Assumptions!$B$57,0,MAX(MAX(Assumptions!$B$44,AE37),IF(M38*Assumptions!$B$24/(1+Assumptions!$B$24)&gt;MAX(Assumptions!$B$44,AE37)*Assumptions!$B$53,M38*Assumptions!$B$24/(1+Assumptions!$B$24)/Assumptions!$B$54,MAX(Assumptions!$B$44,AE37))))</f>
        <v/>
      </c>
      <c r="AF38" s="102">
        <f>U38-U37</f>
        <v/>
      </c>
      <c r="AG38" s="103">
        <f>IFERROR(U38/AE38,0)</f>
        <v/>
      </c>
      <c r="AH38" s="102">
        <f>MAX(0,AE38-AE37)</f>
        <v/>
      </c>
      <c r="AI38" s="102">
        <f>MAX(AD37-Z38,0)</f>
        <v/>
      </c>
      <c r="AJ38" s="102">
        <f>AI38*Assumptions!$B$46/12</f>
        <v/>
      </c>
      <c r="AK38" s="102">
        <f>AD37+Q38-R38-I38+K38+AF38-V38+AJ38-AP38</f>
        <v/>
      </c>
      <c r="AL38" s="104">
        <f>TRIM(IF(AH38&gt;0,"Increase warehouse facility to $"&amp;TEXT(AE38,"#,##0")&amp;" (from $"&amp;TEXT(AE37,"#,##0")&amp;"). ","")&amp;IF(AC38&gt;0,"Raise ~$"&amp;TEXT(AC38,"#,##0")&amp;" of equity — annual raise, funds the next 12 months.",""))</f>
        <v/>
      </c>
      <c r="AM38" s="102">
        <f>Q38-R38-I38+K38+AF38-V38-AP38</f>
        <v/>
      </c>
      <c r="AN38" s="132">
        <f>SUM($H$4:H38)</f>
        <v/>
      </c>
      <c r="AO38" s="102">
        <f>H38*Assumptions!$B$16</f>
        <v/>
      </c>
      <c r="AP38" s="102">
        <f>MAX(AO38*Assumptions!$B$62,Assumptions!$B$63)+Assumptions!$B$64/12</f>
        <v/>
      </c>
      <c r="AQ38" s="102">
        <f>(O38+P38)*Assumptions!$B$61/(1-Assumptions!$B$61)</f>
        <v/>
      </c>
    </row>
    <row r="39" ht="15" customHeight="1" s="85">
      <c r="A39" s="58" t="n">
        <v>36</v>
      </c>
      <c r="B39" s="59">
        <f>EDATE(Assumptions!$B$4,35)</f>
        <v/>
      </c>
      <c r="C39" s="66">
        <f>INT((A39-1)/12)+1</f>
        <v/>
      </c>
      <c r="D39" s="62">
        <f>IF(C39=1,Assumptions!$B$6,IF(C39=2,Assumptions!$B$7,IF(C39=3,Assumptions!$B$8,IF(C39=4,Assumptions!$B$9,Assumptions!$B$10))))</f>
        <v/>
      </c>
      <c r="E39" s="62">
        <f>ROUND(F38*Assumptions!$B$11,0)</f>
        <v/>
      </c>
      <c r="F39" s="62">
        <f>F38+D39-E39</f>
        <v/>
      </c>
      <c r="G39" s="62">
        <f>ROUND(F39*Assumptions!$B$14*(365/12/7),0)</f>
        <v/>
      </c>
      <c r="H39" s="62">
        <f>ROUND(G39*Assumptions!$B$15,0)</f>
        <v/>
      </c>
      <c r="I39" s="63">
        <f>AO39*(1-Assumptions!$B$61)</f>
        <v/>
      </c>
      <c r="J39" s="63">
        <f>M38</f>
        <v/>
      </c>
      <c r="K39" s="68">
        <f>IFERROR(J39/Assumptions!$B$17,0)</f>
        <v/>
      </c>
      <c r="L39" s="68">
        <f>J39*Assumptions!$B$20/12</f>
        <v/>
      </c>
      <c r="M39" s="67">
        <f>MAX(J39+I39-K39-L39,0)</f>
        <v/>
      </c>
      <c r="N39" s="68">
        <f>(J39+M39)/2</f>
        <v/>
      </c>
      <c r="O39" s="63">
        <f>N39*Assumptions!$B$18/12</f>
        <v/>
      </c>
      <c r="P39" s="63">
        <f>I39*Assumptions!$B$19</f>
        <v/>
      </c>
      <c r="Q39" s="67">
        <f>O39+P39</f>
        <v/>
      </c>
      <c r="R39" s="63">
        <f>Assumptions!$B$33*(1+Assumptions!$B$34)^(C39-1)/12</f>
        <v/>
      </c>
      <c r="S39" s="68">
        <f>L39</f>
        <v/>
      </c>
      <c r="T39" s="68">
        <f>Q39-R39-S39-AP39</f>
        <v/>
      </c>
      <c r="U39" s="68">
        <f>MIN(AE39,M39*Assumptions!$B$24/(1+Assumptions!$B$24))</f>
        <v/>
      </c>
      <c r="V39" s="63">
        <f>((U39+U38)/2)*Assumptions!$B$23/12</f>
        <v/>
      </c>
      <c r="W39" s="67">
        <f>T39-V39+AJ39</f>
        <v/>
      </c>
      <c r="X39" s="68">
        <f>X38+W39</f>
        <v/>
      </c>
      <c r="Y39" s="68">
        <f>MAX(M39-U39,0)</f>
        <v/>
      </c>
      <c r="Z39" s="63">
        <f>R39*Assumptions!$B$25</f>
        <v/>
      </c>
      <c r="AA39" s="67">
        <f>Y39+Z39</f>
        <v/>
      </c>
      <c r="AB39" s="68">
        <f>MAX(AB38,AA39)</f>
        <v/>
      </c>
      <c r="AC39" s="67" t="n">
        <v>0</v>
      </c>
      <c r="AD39" s="67">
        <f>AK39+AC39</f>
        <v/>
      </c>
      <c r="AE39" s="102">
        <f>IF(SUM($H$4:H39)&lt;Assumptions!$B$57,0,MAX(MAX(Assumptions!$B$44,AE38),IF(M39*Assumptions!$B$24/(1+Assumptions!$B$24)&gt;MAX(Assumptions!$B$44,AE38)*Assumptions!$B$53,M39*Assumptions!$B$24/(1+Assumptions!$B$24)/Assumptions!$B$54,MAX(Assumptions!$B$44,AE38))))</f>
        <v/>
      </c>
      <c r="AF39" s="102">
        <f>U39-U38</f>
        <v/>
      </c>
      <c r="AG39" s="103">
        <f>IFERROR(U39/AE39,0)</f>
        <v/>
      </c>
      <c r="AH39" s="102">
        <f>MAX(0,AE39-AE38)</f>
        <v/>
      </c>
      <c r="AI39" s="102">
        <f>MAX(AD38-Z39,0)</f>
        <v/>
      </c>
      <c r="AJ39" s="102">
        <f>AI39*Assumptions!$B$46/12</f>
        <v/>
      </c>
      <c r="AK39" s="102">
        <f>AD38+Q39-R39-I39+K39+AF39-V39+AJ39-AP39</f>
        <v/>
      </c>
      <c r="AL39" s="104">
        <f>TRIM(IF(AH39&gt;0,"Increase warehouse facility to $"&amp;TEXT(AE39,"#,##0")&amp;" (from $"&amp;TEXT(AE38,"#,##0")&amp;"). ","")&amp;IF(AC39&gt;0,"Raise ~$"&amp;TEXT(AC39,"#,##0")&amp;" of equity — annual raise, funds the next 12 months.",""))</f>
        <v/>
      </c>
      <c r="AM39" s="102">
        <f>Q39-R39-I39+K39+AF39-V39-AP39</f>
        <v/>
      </c>
      <c r="AN39" s="132">
        <f>SUM($H$4:H39)</f>
        <v/>
      </c>
      <c r="AO39" s="102">
        <f>H39*Assumptions!$B$16</f>
        <v/>
      </c>
      <c r="AP39" s="102">
        <f>MAX(AO39*Assumptions!$B$62,Assumptions!$B$63)+Assumptions!$B$64/12</f>
        <v/>
      </c>
      <c r="AQ39" s="102">
        <f>(O39+P39)*Assumptions!$B$61/(1-Assumptions!$B$61)</f>
        <v/>
      </c>
    </row>
    <row r="40" ht="15" customHeight="1" s="85">
      <c r="A40" s="46" t="n">
        <v>37</v>
      </c>
      <c r="B40" s="32">
        <f>EDATE(Assumptions!$B$4,36)</f>
        <v/>
      </c>
      <c r="C40" s="47">
        <f>INT((A40-1)/12)+1</f>
        <v/>
      </c>
      <c r="D40" s="36">
        <f>IF(C40=1,Assumptions!$B$6,IF(C40=2,Assumptions!$B$7,IF(C40=3,Assumptions!$B$8,IF(C40=4,Assumptions!$B$9,Assumptions!$B$10))))</f>
        <v/>
      </c>
      <c r="E40" s="36">
        <f>ROUND(F39*Assumptions!$B$11,0)</f>
        <v/>
      </c>
      <c r="F40" s="36">
        <f>F39+D40-E40</f>
        <v/>
      </c>
      <c r="G40" s="36">
        <f>ROUND(F40*Assumptions!$B$14*(365/12/7),0)</f>
        <v/>
      </c>
      <c r="H40" s="36">
        <f>ROUND(G40*Assumptions!$B$15,0)</f>
        <v/>
      </c>
      <c r="I40" s="38">
        <f>AO40*(1-Assumptions!$B$61)</f>
        <v/>
      </c>
      <c r="J40" s="38">
        <f>M39</f>
        <v/>
      </c>
      <c r="K40" s="40">
        <f>IFERROR(J40/Assumptions!$B$17,0)</f>
        <v/>
      </c>
      <c r="L40" s="40">
        <f>J40*Assumptions!$B$20/12</f>
        <v/>
      </c>
      <c r="M40" s="41">
        <f>MAX(J40+I40-K40-L40,0)</f>
        <v/>
      </c>
      <c r="N40" s="40">
        <f>(J40+M40)/2</f>
        <v/>
      </c>
      <c r="O40" s="38">
        <f>N40*Assumptions!$B$18/12</f>
        <v/>
      </c>
      <c r="P40" s="38">
        <f>I40*Assumptions!$B$19</f>
        <v/>
      </c>
      <c r="Q40" s="41">
        <f>O40+P40</f>
        <v/>
      </c>
      <c r="R40" s="38">
        <f>Assumptions!$B$33*(1+Assumptions!$B$34)^(C40-1)/12</f>
        <v/>
      </c>
      <c r="S40" s="40">
        <f>L40</f>
        <v/>
      </c>
      <c r="T40" s="40">
        <f>Q40-R40-S40-AP40</f>
        <v/>
      </c>
      <c r="U40" s="40">
        <f>MIN(AE40,M40*Assumptions!$B$24/(1+Assumptions!$B$24))</f>
        <v/>
      </c>
      <c r="V40" s="38">
        <f>((U40+U39)/2)*Assumptions!$B$23/12</f>
        <v/>
      </c>
      <c r="W40" s="41">
        <f>T40-V40+AJ40</f>
        <v/>
      </c>
      <c r="X40" s="40">
        <f>X39+W40</f>
        <v/>
      </c>
      <c r="Y40" s="40">
        <f>MAX(M40-U40,0)</f>
        <v/>
      </c>
      <c r="Z40" s="38">
        <f>R40*Assumptions!$B$25</f>
        <v/>
      </c>
      <c r="AA40" s="41">
        <f>Y40+Z40</f>
        <v/>
      </c>
      <c r="AB40" s="40">
        <f>MAX(AB39,AA40)</f>
        <v/>
      </c>
      <c r="AC40" s="41">
        <f>MAX(0,MAX(Z40-AD39-AM40,Z41-AD39-SUM(AM40:AM41),Z42-AD39-SUM(AM40:AM42),Z43-AD39-SUM(AM40:AM43),Z44-AD39-SUM(AM40:AM44),Z45-AD39-SUM(AM40:AM45),Z46-AD39-SUM(AM40:AM46),Z47-AD39-SUM(AM40:AM47),Z48-AD39-SUM(AM40:AM48),Z49-AD39-SUM(AM40:AM49),Z50-AD39-SUM(AM40:AM50),Z51-AD39-SUM(AM40:AM51)))</f>
        <v/>
      </c>
      <c r="AD40" s="41">
        <f>AK40+AC40</f>
        <v/>
      </c>
      <c r="AE40" s="102">
        <f>IF(SUM($H$4:H40)&lt;Assumptions!$B$57,0,MAX(MAX(Assumptions!$B$44,AE39),IF(M40*Assumptions!$B$24/(1+Assumptions!$B$24)&gt;MAX(Assumptions!$B$44,AE39)*Assumptions!$B$53,M40*Assumptions!$B$24/(1+Assumptions!$B$24)/Assumptions!$B$54,MAX(Assumptions!$B$44,AE39))))</f>
        <v/>
      </c>
      <c r="AF40" s="102">
        <f>U40-U39</f>
        <v/>
      </c>
      <c r="AG40" s="103">
        <f>IFERROR(U40/AE40,0)</f>
        <v/>
      </c>
      <c r="AH40" s="102">
        <f>MAX(0,AE40-AE39)</f>
        <v/>
      </c>
      <c r="AI40" s="102">
        <f>MAX(AD39-Z40,0)</f>
        <v/>
      </c>
      <c r="AJ40" s="102">
        <f>AI40*Assumptions!$B$46/12</f>
        <v/>
      </c>
      <c r="AK40" s="102">
        <f>AD39+Q40-R40-I40+K40+AF40-V40+AJ40-AP40</f>
        <v/>
      </c>
      <c r="AL40" s="104">
        <f>TRIM(IF(AH40&gt;0,"Increase warehouse facility to $"&amp;TEXT(AE40,"#,##0")&amp;" (from $"&amp;TEXT(AE39,"#,##0")&amp;"). ","")&amp;IF(AC40&gt;0,"Raise ~$"&amp;TEXT(AC40,"#,##0")&amp;" of equity — annual raise, funds the next 12 months.",""))</f>
        <v/>
      </c>
      <c r="AM40" s="102">
        <f>Q40-R40-I40+K40+AF40-V40-AP40</f>
        <v/>
      </c>
      <c r="AN40" s="132">
        <f>SUM($H$4:H40)</f>
        <v/>
      </c>
      <c r="AO40" s="102">
        <f>H40*Assumptions!$B$16</f>
        <v/>
      </c>
      <c r="AP40" s="102">
        <f>MAX(AO40*Assumptions!$B$62,Assumptions!$B$63)+Assumptions!$B$64/12</f>
        <v/>
      </c>
      <c r="AQ40" s="102">
        <f>(O40+P40)*Assumptions!$B$61/(1-Assumptions!$B$61)</f>
        <v/>
      </c>
    </row>
    <row r="41" ht="15" customHeight="1" s="85">
      <c r="A41" s="58" t="n">
        <v>38</v>
      </c>
      <c r="B41" s="59">
        <f>EDATE(Assumptions!$B$4,37)</f>
        <v/>
      </c>
      <c r="C41" s="66">
        <f>INT((A41-1)/12)+1</f>
        <v/>
      </c>
      <c r="D41" s="62">
        <f>IF(C41=1,Assumptions!$B$6,IF(C41=2,Assumptions!$B$7,IF(C41=3,Assumptions!$B$8,IF(C41=4,Assumptions!$B$9,Assumptions!$B$10))))</f>
        <v/>
      </c>
      <c r="E41" s="62">
        <f>ROUND(F40*Assumptions!$B$11,0)</f>
        <v/>
      </c>
      <c r="F41" s="62">
        <f>F40+D41-E41</f>
        <v/>
      </c>
      <c r="G41" s="62">
        <f>ROUND(F41*Assumptions!$B$14*(365/12/7),0)</f>
        <v/>
      </c>
      <c r="H41" s="62">
        <f>ROUND(G41*Assumptions!$B$15,0)</f>
        <v/>
      </c>
      <c r="I41" s="63">
        <f>AO41*(1-Assumptions!$B$61)</f>
        <v/>
      </c>
      <c r="J41" s="63">
        <f>M40</f>
        <v/>
      </c>
      <c r="K41" s="68">
        <f>IFERROR(J41/Assumptions!$B$17,0)</f>
        <v/>
      </c>
      <c r="L41" s="68">
        <f>J41*Assumptions!$B$20/12</f>
        <v/>
      </c>
      <c r="M41" s="67">
        <f>MAX(J41+I41-K41-L41,0)</f>
        <v/>
      </c>
      <c r="N41" s="68">
        <f>(J41+M41)/2</f>
        <v/>
      </c>
      <c r="O41" s="63">
        <f>N41*Assumptions!$B$18/12</f>
        <v/>
      </c>
      <c r="P41" s="63">
        <f>I41*Assumptions!$B$19</f>
        <v/>
      </c>
      <c r="Q41" s="67">
        <f>O41+P41</f>
        <v/>
      </c>
      <c r="R41" s="63">
        <f>Assumptions!$B$33*(1+Assumptions!$B$34)^(C41-1)/12</f>
        <v/>
      </c>
      <c r="S41" s="68">
        <f>L41</f>
        <v/>
      </c>
      <c r="T41" s="68">
        <f>Q41-R41-S41-AP41</f>
        <v/>
      </c>
      <c r="U41" s="68">
        <f>MIN(AE41,M41*Assumptions!$B$24/(1+Assumptions!$B$24))</f>
        <v/>
      </c>
      <c r="V41" s="63">
        <f>((U41+U40)/2)*Assumptions!$B$23/12</f>
        <v/>
      </c>
      <c r="W41" s="67">
        <f>T41-V41+AJ41</f>
        <v/>
      </c>
      <c r="X41" s="68">
        <f>X40+W41</f>
        <v/>
      </c>
      <c r="Y41" s="68">
        <f>MAX(M41-U41,0)</f>
        <v/>
      </c>
      <c r="Z41" s="63">
        <f>R41*Assumptions!$B$25</f>
        <v/>
      </c>
      <c r="AA41" s="67">
        <f>Y41+Z41</f>
        <v/>
      </c>
      <c r="AB41" s="68">
        <f>MAX(AB40,AA41)</f>
        <v/>
      </c>
      <c r="AC41" s="67" t="n">
        <v>0</v>
      </c>
      <c r="AD41" s="67">
        <f>AK41+AC41</f>
        <v/>
      </c>
      <c r="AE41" s="102">
        <f>IF(SUM($H$4:H41)&lt;Assumptions!$B$57,0,MAX(MAX(Assumptions!$B$44,AE40),IF(M41*Assumptions!$B$24/(1+Assumptions!$B$24)&gt;MAX(Assumptions!$B$44,AE40)*Assumptions!$B$53,M41*Assumptions!$B$24/(1+Assumptions!$B$24)/Assumptions!$B$54,MAX(Assumptions!$B$44,AE40))))</f>
        <v/>
      </c>
      <c r="AF41" s="102">
        <f>U41-U40</f>
        <v/>
      </c>
      <c r="AG41" s="103">
        <f>IFERROR(U41/AE41,0)</f>
        <v/>
      </c>
      <c r="AH41" s="102">
        <f>MAX(0,AE41-AE40)</f>
        <v/>
      </c>
      <c r="AI41" s="102">
        <f>MAX(AD40-Z41,0)</f>
        <v/>
      </c>
      <c r="AJ41" s="102">
        <f>AI41*Assumptions!$B$46/12</f>
        <v/>
      </c>
      <c r="AK41" s="102">
        <f>AD40+Q41-R41-I41+K41+AF41-V41+AJ41-AP41</f>
        <v/>
      </c>
      <c r="AL41" s="104">
        <f>TRIM(IF(AH41&gt;0,"Increase warehouse facility to $"&amp;TEXT(AE41,"#,##0")&amp;" (from $"&amp;TEXT(AE40,"#,##0")&amp;"). ","")&amp;IF(AC41&gt;0,"Raise ~$"&amp;TEXT(AC41,"#,##0")&amp;" of equity — annual raise, funds the next 12 months.",""))</f>
        <v/>
      </c>
      <c r="AM41" s="102">
        <f>Q41-R41-I41+K41+AF41-V41-AP41</f>
        <v/>
      </c>
      <c r="AN41" s="132">
        <f>SUM($H$4:H41)</f>
        <v/>
      </c>
      <c r="AO41" s="102">
        <f>H41*Assumptions!$B$16</f>
        <v/>
      </c>
      <c r="AP41" s="102">
        <f>MAX(AO41*Assumptions!$B$62,Assumptions!$B$63)+Assumptions!$B$64/12</f>
        <v/>
      </c>
      <c r="AQ41" s="102">
        <f>(O41+P41)*Assumptions!$B$61/(1-Assumptions!$B$61)</f>
        <v/>
      </c>
    </row>
    <row r="42" ht="15" customHeight="1" s="85">
      <c r="A42" s="46" t="n">
        <v>39</v>
      </c>
      <c r="B42" s="32">
        <f>EDATE(Assumptions!$B$4,38)</f>
        <v/>
      </c>
      <c r="C42" s="47">
        <f>INT((A42-1)/12)+1</f>
        <v/>
      </c>
      <c r="D42" s="36">
        <f>IF(C42=1,Assumptions!$B$6,IF(C42=2,Assumptions!$B$7,IF(C42=3,Assumptions!$B$8,IF(C42=4,Assumptions!$B$9,Assumptions!$B$10))))</f>
        <v/>
      </c>
      <c r="E42" s="36">
        <f>ROUND(F41*Assumptions!$B$11,0)</f>
        <v/>
      </c>
      <c r="F42" s="36">
        <f>F41+D42-E42</f>
        <v/>
      </c>
      <c r="G42" s="36">
        <f>ROUND(F42*Assumptions!$B$14*(365/12/7),0)</f>
        <v/>
      </c>
      <c r="H42" s="36">
        <f>ROUND(G42*Assumptions!$B$15,0)</f>
        <v/>
      </c>
      <c r="I42" s="38">
        <f>AO42*(1-Assumptions!$B$61)</f>
        <v/>
      </c>
      <c r="J42" s="38">
        <f>M41</f>
        <v/>
      </c>
      <c r="K42" s="40">
        <f>IFERROR(J42/Assumptions!$B$17,0)</f>
        <v/>
      </c>
      <c r="L42" s="40">
        <f>J42*Assumptions!$B$20/12</f>
        <v/>
      </c>
      <c r="M42" s="41">
        <f>MAX(J42+I42-K42-L42,0)</f>
        <v/>
      </c>
      <c r="N42" s="40">
        <f>(J42+M42)/2</f>
        <v/>
      </c>
      <c r="O42" s="38">
        <f>N42*Assumptions!$B$18/12</f>
        <v/>
      </c>
      <c r="P42" s="38">
        <f>I42*Assumptions!$B$19</f>
        <v/>
      </c>
      <c r="Q42" s="41">
        <f>O42+P42</f>
        <v/>
      </c>
      <c r="R42" s="38">
        <f>Assumptions!$B$33*(1+Assumptions!$B$34)^(C42-1)/12</f>
        <v/>
      </c>
      <c r="S42" s="40">
        <f>L42</f>
        <v/>
      </c>
      <c r="T42" s="40">
        <f>Q42-R42-S42-AP42</f>
        <v/>
      </c>
      <c r="U42" s="40">
        <f>MIN(AE42,M42*Assumptions!$B$24/(1+Assumptions!$B$24))</f>
        <v/>
      </c>
      <c r="V42" s="38">
        <f>((U42+U41)/2)*Assumptions!$B$23/12</f>
        <v/>
      </c>
      <c r="W42" s="41">
        <f>T42-V42+AJ42</f>
        <v/>
      </c>
      <c r="X42" s="40">
        <f>X41+W42</f>
        <v/>
      </c>
      <c r="Y42" s="40">
        <f>MAX(M42-U42,0)</f>
        <v/>
      </c>
      <c r="Z42" s="38">
        <f>R42*Assumptions!$B$25</f>
        <v/>
      </c>
      <c r="AA42" s="41">
        <f>Y42+Z42</f>
        <v/>
      </c>
      <c r="AB42" s="40">
        <f>MAX(AB41,AA42)</f>
        <v/>
      </c>
      <c r="AC42" s="41" t="n">
        <v>0</v>
      </c>
      <c r="AD42" s="41">
        <f>AK42+AC42</f>
        <v/>
      </c>
      <c r="AE42" s="102">
        <f>IF(SUM($H$4:H42)&lt;Assumptions!$B$57,0,MAX(MAX(Assumptions!$B$44,AE41),IF(M42*Assumptions!$B$24/(1+Assumptions!$B$24)&gt;MAX(Assumptions!$B$44,AE41)*Assumptions!$B$53,M42*Assumptions!$B$24/(1+Assumptions!$B$24)/Assumptions!$B$54,MAX(Assumptions!$B$44,AE41))))</f>
        <v/>
      </c>
      <c r="AF42" s="102">
        <f>U42-U41</f>
        <v/>
      </c>
      <c r="AG42" s="103">
        <f>IFERROR(U42/AE42,0)</f>
        <v/>
      </c>
      <c r="AH42" s="102">
        <f>MAX(0,AE42-AE41)</f>
        <v/>
      </c>
      <c r="AI42" s="102">
        <f>MAX(AD41-Z42,0)</f>
        <v/>
      </c>
      <c r="AJ42" s="102">
        <f>AI42*Assumptions!$B$46/12</f>
        <v/>
      </c>
      <c r="AK42" s="102">
        <f>AD41+Q42-R42-I42+K42+AF42-V42+AJ42-AP42</f>
        <v/>
      </c>
      <c r="AL42" s="104">
        <f>TRIM(IF(AH42&gt;0,"Increase warehouse facility to $"&amp;TEXT(AE42,"#,##0")&amp;" (from $"&amp;TEXT(AE41,"#,##0")&amp;"). ","")&amp;IF(AC42&gt;0,"Raise ~$"&amp;TEXT(AC42,"#,##0")&amp;" of equity — annual raise, funds the next 12 months.",""))</f>
        <v/>
      </c>
      <c r="AM42" s="102">
        <f>Q42-R42-I42+K42+AF42-V42-AP42</f>
        <v/>
      </c>
      <c r="AN42" s="132">
        <f>SUM($H$4:H42)</f>
        <v/>
      </c>
      <c r="AO42" s="102">
        <f>H42*Assumptions!$B$16</f>
        <v/>
      </c>
      <c r="AP42" s="102">
        <f>MAX(AO42*Assumptions!$B$62,Assumptions!$B$63)+Assumptions!$B$64/12</f>
        <v/>
      </c>
      <c r="AQ42" s="102">
        <f>(O42+P42)*Assumptions!$B$61/(1-Assumptions!$B$61)</f>
        <v/>
      </c>
    </row>
    <row r="43" ht="15" customHeight="1" s="85">
      <c r="A43" s="58" t="n">
        <v>40</v>
      </c>
      <c r="B43" s="59">
        <f>EDATE(Assumptions!$B$4,39)</f>
        <v/>
      </c>
      <c r="C43" s="66">
        <f>INT((A43-1)/12)+1</f>
        <v/>
      </c>
      <c r="D43" s="62">
        <f>IF(C43=1,Assumptions!$B$6,IF(C43=2,Assumptions!$B$7,IF(C43=3,Assumptions!$B$8,IF(C43=4,Assumptions!$B$9,Assumptions!$B$10))))</f>
        <v/>
      </c>
      <c r="E43" s="62">
        <f>ROUND(F42*Assumptions!$B$11,0)</f>
        <v/>
      </c>
      <c r="F43" s="62">
        <f>F42+D43-E43</f>
        <v/>
      </c>
      <c r="G43" s="62">
        <f>ROUND(F43*Assumptions!$B$14*(365/12/7),0)</f>
        <v/>
      </c>
      <c r="H43" s="62">
        <f>ROUND(G43*Assumptions!$B$15,0)</f>
        <v/>
      </c>
      <c r="I43" s="63">
        <f>AO43*(1-Assumptions!$B$61)</f>
        <v/>
      </c>
      <c r="J43" s="63">
        <f>M42</f>
        <v/>
      </c>
      <c r="K43" s="68">
        <f>IFERROR(J43/Assumptions!$B$17,0)</f>
        <v/>
      </c>
      <c r="L43" s="68">
        <f>J43*Assumptions!$B$20/12</f>
        <v/>
      </c>
      <c r="M43" s="67">
        <f>MAX(J43+I43-K43-L43,0)</f>
        <v/>
      </c>
      <c r="N43" s="68">
        <f>(J43+M43)/2</f>
        <v/>
      </c>
      <c r="O43" s="63">
        <f>N43*Assumptions!$B$18/12</f>
        <v/>
      </c>
      <c r="P43" s="63">
        <f>I43*Assumptions!$B$19</f>
        <v/>
      </c>
      <c r="Q43" s="67">
        <f>O43+P43</f>
        <v/>
      </c>
      <c r="R43" s="63">
        <f>Assumptions!$B$33*(1+Assumptions!$B$34)^(C43-1)/12</f>
        <v/>
      </c>
      <c r="S43" s="68">
        <f>L43</f>
        <v/>
      </c>
      <c r="T43" s="68">
        <f>Q43-R43-S43-AP43</f>
        <v/>
      </c>
      <c r="U43" s="68">
        <f>MIN(AE43,M43*Assumptions!$B$24/(1+Assumptions!$B$24))</f>
        <v/>
      </c>
      <c r="V43" s="63">
        <f>((U43+U42)/2)*Assumptions!$B$23/12</f>
        <v/>
      </c>
      <c r="W43" s="67">
        <f>T43-V43+AJ43</f>
        <v/>
      </c>
      <c r="X43" s="68">
        <f>X42+W43</f>
        <v/>
      </c>
      <c r="Y43" s="68">
        <f>MAX(M43-U43,0)</f>
        <v/>
      </c>
      <c r="Z43" s="63">
        <f>R43*Assumptions!$B$25</f>
        <v/>
      </c>
      <c r="AA43" s="67">
        <f>Y43+Z43</f>
        <v/>
      </c>
      <c r="AB43" s="68">
        <f>MAX(AB42,AA43)</f>
        <v/>
      </c>
      <c r="AC43" s="67" t="n">
        <v>0</v>
      </c>
      <c r="AD43" s="67">
        <f>AK43+AC43</f>
        <v/>
      </c>
      <c r="AE43" s="102">
        <f>IF(SUM($H$4:H43)&lt;Assumptions!$B$57,0,MAX(MAX(Assumptions!$B$44,AE42),IF(M43*Assumptions!$B$24/(1+Assumptions!$B$24)&gt;MAX(Assumptions!$B$44,AE42)*Assumptions!$B$53,M43*Assumptions!$B$24/(1+Assumptions!$B$24)/Assumptions!$B$54,MAX(Assumptions!$B$44,AE42))))</f>
        <v/>
      </c>
      <c r="AF43" s="102">
        <f>U43-U42</f>
        <v/>
      </c>
      <c r="AG43" s="103">
        <f>IFERROR(U43/AE43,0)</f>
        <v/>
      </c>
      <c r="AH43" s="102">
        <f>MAX(0,AE43-AE42)</f>
        <v/>
      </c>
      <c r="AI43" s="102">
        <f>MAX(AD42-Z43,0)</f>
        <v/>
      </c>
      <c r="AJ43" s="102">
        <f>AI43*Assumptions!$B$46/12</f>
        <v/>
      </c>
      <c r="AK43" s="102">
        <f>AD42+Q43-R43-I43+K43+AF43-V43+AJ43-AP43</f>
        <v/>
      </c>
      <c r="AL43" s="104">
        <f>TRIM(IF(AH43&gt;0,"Increase warehouse facility to $"&amp;TEXT(AE43,"#,##0")&amp;" (from $"&amp;TEXT(AE42,"#,##0")&amp;"). ","")&amp;IF(AC43&gt;0,"Raise ~$"&amp;TEXT(AC43,"#,##0")&amp;" of equity — annual raise, funds the next 12 months.",""))</f>
        <v/>
      </c>
      <c r="AM43" s="102">
        <f>Q43-R43-I43+K43+AF43-V43-AP43</f>
        <v/>
      </c>
      <c r="AN43" s="132">
        <f>SUM($H$4:H43)</f>
        <v/>
      </c>
      <c r="AO43" s="102">
        <f>H43*Assumptions!$B$16</f>
        <v/>
      </c>
      <c r="AP43" s="102">
        <f>MAX(AO43*Assumptions!$B$62,Assumptions!$B$63)+Assumptions!$B$64/12</f>
        <v/>
      </c>
      <c r="AQ43" s="102">
        <f>(O43+P43)*Assumptions!$B$61/(1-Assumptions!$B$61)</f>
        <v/>
      </c>
    </row>
    <row r="44" ht="15" customHeight="1" s="85">
      <c r="A44" s="46" t="n">
        <v>41</v>
      </c>
      <c r="B44" s="32">
        <f>EDATE(Assumptions!$B$4,40)</f>
        <v/>
      </c>
      <c r="C44" s="47">
        <f>INT((A44-1)/12)+1</f>
        <v/>
      </c>
      <c r="D44" s="36">
        <f>IF(C44=1,Assumptions!$B$6,IF(C44=2,Assumptions!$B$7,IF(C44=3,Assumptions!$B$8,IF(C44=4,Assumptions!$B$9,Assumptions!$B$10))))</f>
        <v/>
      </c>
      <c r="E44" s="36">
        <f>ROUND(F43*Assumptions!$B$11,0)</f>
        <v/>
      </c>
      <c r="F44" s="36">
        <f>F43+D44-E44</f>
        <v/>
      </c>
      <c r="G44" s="36">
        <f>ROUND(F44*Assumptions!$B$14*(365/12/7),0)</f>
        <v/>
      </c>
      <c r="H44" s="36">
        <f>ROUND(G44*Assumptions!$B$15,0)</f>
        <v/>
      </c>
      <c r="I44" s="38">
        <f>AO44*(1-Assumptions!$B$61)</f>
        <v/>
      </c>
      <c r="J44" s="38">
        <f>M43</f>
        <v/>
      </c>
      <c r="K44" s="40">
        <f>IFERROR(J44/Assumptions!$B$17,0)</f>
        <v/>
      </c>
      <c r="L44" s="40">
        <f>J44*Assumptions!$B$20/12</f>
        <v/>
      </c>
      <c r="M44" s="41">
        <f>MAX(J44+I44-K44-L44,0)</f>
        <v/>
      </c>
      <c r="N44" s="40">
        <f>(J44+M44)/2</f>
        <v/>
      </c>
      <c r="O44" s="38">
        <f>N44*Assumptions!$B$18/12</f>
        <v/>
      </c>
      <c r="P44" s="38">
        <f>I44*Assumptions!$B$19</f>
        <v/>
      </c>
      <c r="Q44" s="41">
        <f>O44+P44</f>
        <v/>
      </c>
      <c r="R44" s="38">
        <f>Assumptions!$B$33*(1+Assumptions!$B$34)^(C44-1)/12</f>
        <v/>
      </c>
      <c r="S44" s="40">
        <f>L44</f>
        <v/>
      </c>
      <c r="T44" s="40">
        <f>Q44-R44-S44-AP44</f>
        <v/>
      </c>
      <c r="U44" s="40">
        <f>MIN(AE44,M44*Assumptions!$B$24/(1+Assumptions!$B$24))</f>
        <v/>
      </c>
      <c r="V44" s="38">
        <f>((U44+U43)/2)*Assumptions!$B$23/12</f>
        <v/>
      </c>
      <c r="W44" s="41">
        <f>T44-V44+AJ44</f>
        <v/>
      </c>
      <c r="X44" s="40">
        <f>X43+W44</f>
        <v/>
      </c>
      <c r="Y44" s="40">
        <f>MAX(M44-U44,0)</f>
        <v/>
      </c>
      <c r="Z44" s="38">
        <f>R44*Assumptions!$B$25</f>
        <v/>
      </c>
      <c r="AA44" s="41">
        <f>Y44+Z44</f>
        <v/>
      </c>
      <c r="AB44" s="40">
        <f>MAX(AB43,AA44)</f>
        <v/>
      </c>
      <c r="AC44" s="41" t="n">
        <v>0</v>
      </c>
      <c r="AD44" s="41">
        <f>AK44+AC44</f>
        <v/>
      </c>
      <c r="AE44" s="102">
        <f>IF(SUM($H$4:H44)&lt;Assumptions!$B$57,0,MAX(MAX(Assumptions!$B$44,AE43),IF(M44*Assumptions!$B$24/(1+Assumptions!$B$24)&gt;MAX(Assumptions!$B$44,AE43)*Assumptions!$B$53,M44*Assumptions!$B$24/(1+Assumptions!$B$24)/Assumptions!$B$54,MAX(Assumptions!$B$44,AE43))))</f>
        <v/>
      </c>
      <c r="AF44" s="102">
        <f>U44-U43</f>
        <v/>
      </c>
      <c r="AG44" s="103">
        <f>IFERROR(U44/AE44,0)</f>
        <v/>
      </c>
      <c r="AH44" s="102">
        <f>MAX(0,AE44-AE43)</f>
        <v/>
      </c>
      <c r="AI44" s="102">
        <f>MAX(AD43-Z44,0)</f>
        <v/>
      </c>
      <c r="AJ44" s="102">
        <f>AI44*Assumptions!$B$46/12</f>
        <v/>
      </c>
      <c r="AK44" s="102">
        <f>AD43+Q44-R44-I44+K44+AF44-V44+AJ44-AP44</f>
        <v/>
      </c>
      <c r="AL44" s="104">
        <f>TRIM(IF(AH44&gt;0,"Increase warehouse facility to $"&amp;TEXT(AE44,"#,##0")&amp;" (from $"&amp;TEXT(AE43,"#,##0")&amp;"). ","")&amp;IF(AC44&gt;0,"Raise ~$"&amp;TEXT(AC44,"#,##0")&amp;" of equity — annual raise, funds the next 12 months.",""))</f>
        <v/>
      </c>
      <c r="AM44" s="102">
        <f>Q44-R44-I44+K44+AF44-V44-AP44</f>
        <v/>
      </c>
      <c r="AN44" s="132">
        <f>SUM($H$4:H44)</f>
        <v/>
      </c>
      <c r="AO44" s="102">
        <f>H44*Assumptions!$B$16</f>
        <v/>
      </c>
      <c r="AP44" s="102">
        <f>MAX(AO44*Assumptions!$B$62,Assumptions!$B$63)+Assumptions!$B$64/12</f>
        <v/>
      </c>
      <c r="AQ44" s="102">
        <f>(O44+P44)*Assumptions!$B$61/(1-Assumptions!$B$61)</f>
        <v/>
      </c>
    </row>
    <row r="45" ht="15" customHeight="1" s="85">
      <c r="A45" s="58" t="n">
        <v>42</v>
      </c>
      <c r="B45" s="59">
        <f>EDATE(Assumptions!$B$4,41)</f>
        <v/>
      </c>
      <c r="C45" s="66">
        <f>INT((A45-1)/12)+1</f>
        <v/>
      </c>
      <c r="D45" s="62">
        <f>IF(C45=1,Assumptions!$B$6,IF(C45=2,Assumptions!$B$7,IF(C45=3,Assumptions!$B$8,IF(C45=4,Assumptions!$B$9,Assumptions!$B$10))))</f>
        <v/>
      </c>
      <c r="E45" s="62">
        <f>ROUND(F44*Assumptions!$B$11,0)</f>
        <v/>
      </c>
      <c r="F45" s="62">
        <f>F44+D45-E45</f>
        <v/>
      </c>
      <c r="G45" s="62">
        <f>ROUND(F45*Assumptions!$B$14*(365/12/7),0)</f>
        <v/>
      </c>
      <c r="H45" s="62">
        <f>ROUND(G45*Assumptions!$B$15,0)</f>
        <v/>
      </c>
      <c r="I45" s="63">
        <f>AO45*(1-Assumptions!$B$61)</f>
        <v/>
      </c>
      <c r="J45" s="63">
        <f>M44</f>
        <v/>
      </c>
      <c r="K45" s="68">
        <f>IFERROR(J45/Assumptions!$B$17,0)</f>
        <v/>
      </c>
      <c r="L45" s="68">
        <f>J45*Assumptions!$B$20/12</f>
        <v/>
      </c>
      <c r="M45" s="67">
        <f>MAX(J45+I45-K45-L45,0)</f>
        <v/>
      </c>
      <c r="N45" s="68">
        <f>(J45+M45)/2</f>
        <v/>
      </c>
      <c r="O45" s="63">
        <f>N45*Assumptions!$B$18/12</f>
        <v/>
      </c>
      <c r="P45" s="63">
        <f>I45*Assumptions!$B$19</f>
        <v/>
      </c>
      <c r="Q45" s="67">
        <f>O45+P45</f>
        <v/>
      </c>
      <c r="R45" s="63">
        <f>Assumptions!$B$33*(1+Assumptions!$B$34)^(C45-1)/12</f>
        <v/>
      </c>
      <c r="S45" s="68">
        <f>L45</f>
        <v/>
      </c>
      <c r="T45" s="68">
        <f>Q45-R45-S45-AP45</f>
        <v/>
      </c>
      <c r="U45" s="68">
        <f>MIN(AE45,M45*Assumptions!$B$24/(1+Assumptions!$B$24))</f>
        <v/>
      </c>
      <c r="V45" s="63">
        <f>((U45+U44)/2)*Assumptions!$B$23/12</f>
        <v/>
      </c>
      <c r="W45" s="67">
        <f>T45-V45+AJ45</f>
        <v/>
      </c>
      <c r="X45" s="68">
        <f>X44+W45</f>
        <v/>
      </c>
      <c r="Y45" s="68">
        <f>MAX(M45-U45,0)</f>
        <v/>
      </c>
      <c r="Z45" s="63">
        <f>R45*Assumptions!$B$25</f>
        <v/>
      </c>
      <c r="AA45" s="67">
        <f>Y45+Z45</f>
        <v/>
      </c>
      <c r="AB45" s="68">
        <f>MAX(AB44,AA45)</f>
        <v/>
      </c>
      <c r="AC45" s="67" t="n">
        <v>0</v>
      </c>
      <c r="AD45" s="67">
        <f>AK45+AC45</f>
        <v/>
      </c>
      <c r="AE45" s="102">
        <f>IF(SUM($H$4:H45)&lt;Assumptions!$B$57,0,MAX(MAX(Assumptions!$B$44,AE44),IF(M45*Assumptions!$B$24/(1+Assumptions!$B$24)&gt;MAX(Assumptions!$B$44,AE44)*Assumptions!$B$53,M45*Assumptions!$B$24/(1+Assumptions!$B$24)/Assumptions!$B$54,MAX(Assumptions!$B$44,AE44))))</f>
        <v/>
      </c>
      <c r="AF45" s="102">
        <f>U45-U44</f>
        <v/>
      </c>
      <c r="AG45" s="103">
        <f>IFERROR(U45/AE45,0)</f>
        <v/>
      </c>
      <c r="AH45" s="102">
        <f>MAX(0,AE45-AE44)</f>
        <v/>
      </c>
      <c r="AI45" s="102">
        <f>MAX(AD44-Z45,0)</f>
        <v/>
      </c>
      <c r="AJ45" s="102">
        <f>AI45*Assumptions!$B$46/12</f>
        <v/>
      </c>
      <c r="AK45" s="102">
        <f>AD44+Q45-R45-I45+K45+AF45-V45+AJ45-AP45</f>
        <v/>
      </c>
      <c r="AL45" s="104">
        <f>TRIM(IF(AH45&gt;0,"Increase warehouse facility to $"&amp;TEXT(AE45,"#,##0")&amp;" (from $"&amp;TEXT(AE44,"#,##0")&amp;"). ","")&amp;IF(AC45&gt;0,"Raise ~$"&amp;TEXT(AC45,"#,##0")&amp;" of equity — annual raise, funds the next 12 months.",""))</f>
        <v/>
      </c>
      <c r="AM45" s="102">
        <f>Q45-R45-I45+K45+AF45-V45-AP45</f>
        <v/>
      </c>
      <c r="AN45" s="132">
        <f>SUM($H$4:H45)</f>
        <v/>
      </c>
      <c r="AO45" s="102">
        <f>H45*Assumptions!$B$16</f>
        <v/>
      </c>
      <c r="AP45" s="102">
        <f>MAX(AO45*Assumptions!$B$62,Assumptions!$B$63)+Assumptions!$B$64/12</f>
        <v/>
      </c>
      <c r="AQ45" s="102">
        <f>(O45+P45)*Assumptions!$B$61/(1-Assumptions!$B$61)</f>
        <v/>
      </c>
    </row>
    <row r="46" ht="15" customHeight="1" s="85">
      <c r="A46" s="46" t="n">
        <v>43</v>
      </c>
      <c r="B46" s="32">
        <f>EDATE(Assumptions!$B$4,42)</f>
        <v/>
      </c>
      <c r="C46" s="47">
        <f>INT((A46-1)/12)+1</f>
        <v/>
      </c>
      <c r="D46" s="36">
        <f>IF(C46=1,Assumptions!$B$6,IF(C46=2,Assumptions!$B$7,IF(C46=3,Assumptions!$B$8,IF(C46=4,Assumptions!$B$9,Assumptions!$B$10))))</f>
        <v/>
      </c>
      <c r="E46" s="36">
        <f>ROUND(F45*Assumptions!$B$11,0)</f>
        <v/>
      </c>
      <c r="F46" s="36">
        <f>F45+D46-E46</f>
        <v/>
      </c>
      <c r="G46" s="36">
        <f>ROUND(F46*Assumptions!$B$14*(365/12/7),0)</f>
        <v/>
      </c>
      <c r="H46" s="36">
        <f>ROUND(G46*Assumptions!$B$15,0)</f>
        <v/>
      </c>
      <c r="I46" s="38">
        <f>AO46*(1-Assumptions!$B$61)</f>
        <v/>
      </c>
      <c r="J46" s="38">
        <f>M45</f>
        <v/>
      </c>
      <c r="K46" s="40">
        <f>IFERROR(J46/Assumptions!$B$17,0)</f>
        <v/>
      </c>
      <c r="L46" s="40">
        <f>J46*Assumptions!$B$20/12</f>
        <v/>
      </c>
      <c r="M46" s="41">
        <f>MAX(J46+I46-K46-L46,0)</f>
        <v/>
      </c>
      <c r="N46" s="40">
        <f>(J46+M46)/2</f>
        <v/>
      </c>
      <c r="O46" s="38">
        <f>N46*Assumptions!$B$18/12</f>
        <v/>
      </c>
      <c r="P46" s="38">
        <f>I46*Assumptions!$B$19</f>
        <v/>
      </c>
      <c r="Q46" s="41">
        <f>O46+P46</f>
        <v/>
      </c>
      <c r="R46" s="38">
        <f>Assumptions!$B$33*(1+Assumptions!$B$34)^(C46-1)/12</f>
        <v/>
      </c>
      <c r="S46" s="40">
        <f>L46</f>
        <v/>
      </c>
      <c r="T46" s="40">
        <f>Q46-R46-S46-AP46</f>
        <v/>
      </c>
      <c r="U46" s="40">
        <f>MIN(AE46,M46*Assumptions!$B$24/(1+Assumptions!$B$24))</f>
        <v/>
      </c>
      <c r="V46" s="38">
        <f>((U46+U45)/2)*Assumptions!$B$23/12</f>
        <v/>
      </c>
      <c r="W46" s="41">
        <f>T46-V46+AJ46</f>
        <v/>
      </c>
      <c r="X46" s="40">
        <f>X45+W46</f>
        <v/>
      </c>
      <c r="Y46" s="40">
        <f>MAX(M46-U46,0)</f>
        <v/>
      </c>
      <c r="Z46" s="38">
        <f>R46*Assumptions!$B$25</f>
        <v/>
      </c>
      <c r="AA46" s="41">
        <f>Y46+Z46</f>
        <v/>
      </c>
      <c r="AB46" s="40">
        <f>MAX(AB45,AA46)</f>
        <v/>
      </c>
      <c r="AC46" s="41" t="n">
        <v>0</v>
      </c>
      <c r="AD46" s="41">
        <f>AK46+AC46</f>
        <v/>
      </c>
      <c r="AE46" s="102">
        <f>IF(SUM($H$4:H46)&lt;Assumptions!$B$57,0,MAX(MAX(Assumptions!$B$44,AE45),IF(M46*Assumptions!$B$24/(1+Assumptions!$B$24)&gt;MAX(Assumptions!$B$44,AE45)*Assumptions!$B$53,M46*Assumptions!$B$24/(1+Assumptions!$B$24)/Assumptions!$B$54,MAX(Assumptions!$B$44,AE45))))</f>
        <v/>
      </c>
      <c r="AF46" s="102">
        <f>U46-U45</f>
        <v/>
      </c>
      <c r="AG46" s="103">
        <f>IFERROR(U46/AE46,0)</f>
        <v/>
      </c>
      <c r="AH46" s="102">
        <f>MAX(0,AE46-AE45)</f>
        <v/>
      </c>
      <c r="AI46" s="102">
        <f>MAX(AD45-Z46,0)</f>
        <v/>
      </c>
      <c r="AJ46" s="102">
        <f>AI46*Assumptions!$B$46/12</f>
        <v/>
      </c>
      <c r="AK46" s="102">
        <f>AD45+Q46-R46-I46+K46+AF46-V46+AJ46-AP46</f>
        <v/>
      </c>
      <c r="AL46" s="104">
        <f>TRIM(IF(AH46&gt;0,"Increase warehouse facility to $"&amp;TEXT(AE46,"#,##0")&amp;" (from $"&amp;TEXT(AE45,"#,##0")&amp;"). ","")&amp;IF(AC46&gt;0,"Raise ~$"&amp;TEXT(AC46,"#,##0")&amp;" of equity — annual raise, funds the next 12 months.",""))</f>
        <v/>
      </c>
      <c r="AM46" s="102">
        <f>Q46-R46-I46+K46+AF46-V46-AP46</f>
        <v/>
      </c>
      <c r="AN46" s="132">
        <f>SUM($H$4:H46)</f>
        <v/>
      </c>
      <c r="AO46" s="102">
        <f>H46*Assumptions!$B$16</f>
        <v/>
      </c>
      <c r="AP46" s="102">
        <f>MAX(AO46*Assumptions!$B$62,Assumptions!$B$63)+Assumptions!$B$64/12</f>
        <v/>
      </c>
      <c r="AQ46" s="102">
        <f>(O46+P46)*Assumptions!$B$61/(1-Assumptions!$B$61)</f>
        <v/>
      </c>
    </row>
    <row r="47" ht="15" customHeight="1" s="85">
      <c r="A47" s="58" t="n">
        <v>44</v>
      </c>
      <c r="B47" s="59">
        <f>EDATE(Assumptions!$B$4,43)</f>
        <v/>
      </c>
      <c r="C47" s="66">
        <f>INT((A47-1)/12)+1</f>
        <v/>
      </c>
      <c r="D47" s="62">
        <f>IF(C47=1,Assumptions!$B$6,IF(C47=2,Assumptions!$B$7,IF(C47=3,Assumptions!$B$8,IF(C47=4,Assumptions!$B$9,Assumptions!$B$10))))</f>
        <v/>
      </c>
      <c r="E47" s="62">
        <f>ROUND(F46*Assumptions!$B$11,0)</f>
        <v/>
      </c>
      <c r="F47" s="62">
        <f>F46+D47-E47</f>
        <v/>
      </c>
      <c r="G47" s="62">
        <f>ROUND(F47*Assumptions!$B$14*(365/12/7),0)</f>
        <v/>
      </c>
      <c r="H47" s="62">
        <f>ROUND(G47*Assumptions!$B$15,0)</f>
        <v/>
      </c>
      <c r="I47" s="63">
        <f>AO47*(1-Assumptions!$B$61)</f>
        <v/>
      </c>
      <c r="J47" s="63">
        <f>M46</f>
        <v/>
      </c>
      <c r="K47" s="68">
        <f>IFERROR(J47/Assumptions!$B$17,0)</f>
        <v/>
      </c>
      <c r="L47" s="68">
        <f>J47*Assumptions!$B$20/12</f>
        <v/>
      </c>
      <c r="M47" s="67">
        <f>MAX(J47+I47-K47-L47,0)</f>
        <v/>
      </c>
      <c r="N47" s="68">
        <f>(J47+M47)/2</f>
        <v/>
      </c>
      <c r="O47" s="63">
        <f>N47*Assumptions!$B$18/12</f>
        <v/>
      </c>
      <c r="P47" s="63">
        <f>I47*Assumptions!$B$19</f>
        <v/>
      </c>
      <c r="Q47" s="67">
        <f>O47+P47</f>
        <v/>
      </c>
      <c r="R47" s="63">
        <f>Assumptions!$B$33*(1+Assumptions!$B$34)^(C47-1)/12</f>
        <v/>
      </c>
      <c r="S47" s="68">
        <f>L47</f>
        <v/>
      </c>
      <c r="T47" s="68">
        <f>Q47-R47-S47-AP47</f>
        <v/>
      </c>
      <c r="U47" s="68">
        <f>MIN(AE47,M47*Assumptions!$B$24/(1+Assumptions!$B$24))</f>
        <v/>
      </c>
      <c r="V47" s="63">
        <f>((U47+U46)/2)*Assumptions!$B$23/12</f>
        <v/>
      </c>
      <c r="W47" s="67">
        <f>T47-V47+AJ47</f>
        <v/>
      </c>
      <c r="X47" s="68">
        <f>X46+W47</f>
        <v/>
      </c>
      <c r="Y47" s="68">
        <f>MAX(M47-U47,0)</f>
        <v/>
      </c>
      <c r="Z47" s="63">
        <f>R47*Assumptions!$B$25</f>
        <v/>
      </c>
      <c r="AA47" s="67">
        <f>Y47+Z47</f>
        <v/>
      </c>
      <c r="AB47" s="68">
        <f>MAX(AB46,AA47)</f>
        <v/>
      </c>
      <c r="AC47" s="67" t="n">
        <v>0</v>
      </c>
      <c r="AD47" s="67">
        <f>AK47+AC47</f>
        <v/>
      </c>
      <c r="AE47" s="102">
        <f>IF(SUM($H$4:H47)&lt;Assumptions!$B$57,0,MAX(MAX(Assumptions!$B$44,AE46),IF(M47*Assumptions!$B$24/(1+Assumptions!$B$24)&gt;MAX(Assumptions!$B$44,AE46)*Assumptions!$B$53,M47*Assumptions!$B$24/(1+Assumptions!$B$24)/Assumptions!$B$54,MAX(Assumptions!$B$44,AE46))))</f>
        <v/>
      </c>
      <c r="AF47" s="102">
        <f>U47-U46</f>
        <v/>
      </c>
      <c r="AG47" s="103">
        <f>IFERROR(U47/AE47,0)</f>
        <v/>
      </c>
      <c r="AH47" s="102">
        <f>MAX(0,AE47-AE46)</f>
        <v/>
      </c>
      <c r="AI47" s="102">
        <f>MAX(AD46-Z47,0)</f>
        <v/>
      </c>
      <c r="AJ47" s="102">
        <f>AI47*Assumptions!$B$46/12</f>
        <v/>
      </c>
      <c r="AK47" s="102">
        <f>AD46+Q47-R47-I47+K47+AF47-V47+AJ47-AP47</f>
        <v/>
      </c>
      <c r="AL47" s="104">
        <f>TRIM(IF(AH47&gt;0,"Increase warehouse facility to $"&amp;TEXT(AE47,"#,##0")&amp;" (from $"&amp;TEXT(AE46,"#,##0")&amp;"). ","")&amp;IF(AC47&gt;0,"Raise ~$"&amp;TEXT(AC47,"#,##0")&amp;" of equity — annual raise, funds the next 12 months.",""))</f>
        <v/>
      </c>
      <c r="AM47" s="102">
        <f>Q47-R47-I47+K47+AF47-V47-AP47</f>
        <v/>
      </c>
      <c r="AN47" s="132">
        <f>SUM($H$4:H47)</f>
        <v/>
      </c>
      <c r="AO47" s="102">
        <f>H47*Assumptions!$B$16</f>
        <v/>
      </c>
      <c r="AP47" s="102">
        <f>MAX(AO47*Assumptions!$B$62,Assumptions!$B$63)+Assumptions!$B$64/12</f>
        <v/>
      </c>
      <c r="AQ47" s="102">
        <f>(O47+P47)*Assumptions!$B$61/(1-Assumptions!$B$61)</f>
        <v/>
      </c>
    </row>
    <row r="48" ht="15" customHeight="1" s="85">
      <c r="A48" s="46" t="n">
        <v>45</v>
      </c>
      <c r="B48" s="32">
        <f>EDATE(Assumptions!$B$4,44)</f>
        <v/>
      </c>
      <c r="C48" s="47">
        <f>INT((A48-1)/12)+1</f>
        <v/>
      </c>
      <c r="D48" s="36">
        <f>IF(C48=1,Assumptions!$B$6,IF(C48=2,Assumptions!$B$7,IF(C48=3,Assumptions!$B$8,IF(C48=4,Assumptions!$B$9,Assumptions!$B$10))))</f>
        <v/>
      </c>
      <c r="E48" s="36">
        <f>ROUND(F47*Assumptions!$B$11,0)</f>
        <v/>
      </c>
      <c r="F48" s="36">
        <f>F47+D48-E48</f>
        <v/>
      </c>
      <c r="G48" s="36">
        <f>ROUND(F48*Assumptions!$B$14*(365/12/7),0)</f>
        <v/>
      </c>
      <c r="H48" s="36">
        <f>ROUND(G48*Assumptions!$B$15,0)</f>
        <v/>
      </c>
      <c r="I48" s="38">
        <f>AO48*(1-Assumptions!$B$61)</f>
        <v/>
      </c>
      <c r="J48" s="38">
        <f>M47</f>
        <v/>
      </c>
      <c r="K48" s="40">
        <f>IFERROR(J48/Assumptions!$B$17,0)</f>
        <v/>
      </c>
      <c r="L48" s="40">
        <f>J48*Assumptions!$B$20/12</f>
        <v/>
      </c>
      <c r="M48" s="41">
        <f>MAX(J48+I48-K48-L48,0)</f>
        <v/>
      </c>
      <c r="N48" s="40">
        <f>(J48+M48)/2</f>
        <v/>
      </c>
      <c r="O48" s="38">
        <f>N48*Assumptions!$B$18/12</f>
        <v/>
      </c>
      <c r="P48" s="38">
        <f>I48*Assumptions!$B$19</f>
        <v/>
      </c>
      <c r="Q48" s="41">
        <f>O48+P48</f>
        <v/>
      </c>
      <c r="R48" s="38">
        <f>Assumptions!$B$33*(1+Assumptions!$B$34)^(C48-1)/12</f>
        <v/>
      </c>
      <c r="S48" s="40">
        <f>L48</f>
        <v/>
      </c>
      <c r="T48" s="40">
        <f>Q48-R48-S48-AP48</f>
        <v/>
      </c>
      <c r="U48" s="40">
        <f>MIN(AE48,M48*Assumptions!$B$24/(1+Assumptions!$B$24))</f>
        <v/>
      </c>
      <c r="V48" s="38">
        <f>((U48+U47)/2)*Assumptions!$B$23/12</f>
        <v/>
      </c>
      <c r="W48" s="41">
        <f>T48-V48+AJ48</f>
        <v/>
      </c>
      <c r="X48" s="40">
        <f>X47+W48</f>
        <v/>
      </c>
      <c r="Y48" s="40">
        <f>MAX(M48-U48,0)</f>
        <v/>
      </c>
      <c r="Z48" s="38">
        <f>R48*Assumptions!$B$25</f>
        <v/>
      </c>
      <c r="AA48" s="41">
        <f>Y48+Z48</f>
        <v/>
      </c>
      <c r="AB48" s="40">
        <f>MAX(AB47,AA48)</f>
        <v/>
      </c>
      <c r="AC48" s="41" t="n">
        <v>0</v>
      </c>
      <c r="AD48" s="41">
        <f>AK48+AC48</f>
        <v/>
      </c>
      <c r="AE48" s="102">
        <f>IF(SUM($H$4:H48)&lt;Assumptions!$B$57,0,MAX(MAX(Assumptions!$B$44,AE47),IF(M48*Assumptions!$B$24/(1+Assumptions!$B$24)&gt;MAX(Assumptions!$B$44,AE47)*Assumptions!$B$53,M48*Assumptions!$B$24/(1+Assumptions!$B$24)/Assumptions!$B$54,MAX(Assumptions!$B$44,AE47))))</f>
        <v/>
      </c>
      <c r="AF48" s="102">
        <f>U48-U47</f>
        <v/>
      </c>
      <c r="AG48" s="103">
        <f>IFERROR(U48/AE48,0)</f>
        <v/>
      </c>
      <c r="AH48" s="102">
        <f>MAX(0,AE48-AE47)</f>
        <v/>
      </c>
      <c r="AI48" s="102">
        <f>MAX(AD47-Z48,0)</f>
        <v/>
      </c>
      <c r="AJ48" s="102">
        <f>AI48*Assumptions!$B$46/12</f>
        <v/>
      </c>
      <c r="AK48" s="102">
        <f>AD47+Q48-R48-I48+K48+AF48-V48+AJ48-AP48</f>
        <v/>
      </c>
      <c r="AL48" s="104">
        <f>TRIM(IF(AH48&gt;0,"Increase warehouse facility to $"&amp;TEXT(AE48,"#,##0")&amp;" (from $"&amp;TEXT(AE47,"#,##0")&amp;"). ","")&amp;IF(AC48&gt;0,"Raise ~$"&amp;TEXT(AC48,"#,##0")&amp;" of equity — annual raise, funds the next 12 months.",""))</f>
        <v/>
      </c>
      <c r="AM48" s="102">
        <f>Q48-R48-I48+K48+AF48-V48-AP48</f>
        <v/>
      </c>
      <c r="AN48" s="132">
        <f>SUM($H$4:H48)</f>
        <v/>
      </c>
      <c r="AO48" s="102">
        <f>H48*Assumptions!$B$16</f>
        <v/>
      </c>
      <c r="AP48" s="102">
        <f>MAX(AO48*Assumptions!$B$62,Assumptions!$B$63)+Assumptions!$B$64/12</f>
        <v/>
      </c>
      <c r="AQ48" s="102">
        <f>(O48+P48)*Assumptions!$B$61/(1-Assumptions!$B$61)</f>
        <v/>
      </c>
    </row>
    <row r="49" ht="15" customHeight="1" s="85">
      <c r="A49" s="58" t="n">
        <v>46</v>
      </c>
      <c r="B49" s="59">
        <f>EDATE(Assumptions!$B$4,45)</f>
        <v/>
      </c>
      <c r="C49" s="66">
        <f>INT((A49-1)/12)+1</f>
        <v/>
      </c>
      <c r="D49" s="62">
        <f>IF(C49=1,Assumptions!$B$6,IF(C49=2,Assumptions!$B$7,IF(C49=3,Assumptions!$B$8,IF(C49=4,Assumptions!$B$9,Assumptions!$B$10))))</f>
        <v/>
      </c>
      <c r="E49" s="62">
        <f>ROUND(F48*Assumptions!$B$11,0)</f>
        <v/>
      </c>
      <c r="F49" s="62">
        <f>F48+D49-E49</f>
        <v/>
      </c>
      <c r="G49" s="62">
        <f>ROUND(F49*Assumptions!$B$14*(365/12/7),0)</f>
        <v/>
      </c>
      <c r="H49" s="62">
        <f>ROUND(G49*Assumptions!$B$15,0)</f>
        <v/>
      </c>
      <c r="I49" s="63">
        <f>AO49*(1-Assumptions!$B$61)</f>
        <v/>
      </c>
      <c r="J49" s="63">
        <f>M48</f>
        <v/>
      </c>
      <c r="K49" s="68">
        <f>IFERROR(J49/Assumptions!$B$17,0)</f>
        <v/>
      </c>
      <c r="L49" s="68">
        <f>J49*Assumptions!$B$20/12</f>
        <v/>
      </c>
      <c r="M49" s="67">
        <f>MAX(J49+I49-K49-L49,0)</f>
        <v/>
      </c>
      <c r="N49" s="68">
        <f>(J49+M49)/2</f>
        <v/>
      </c>
      <c r="O49" s="63">
        <f>N49*Assumptions!$B$18/12</f>
        <v/>
      </c>
      <c r="P49" s="63">
        <f>I49*Assumptions!$B$19</f>
        <v/>
      </c>
      <c r="Q49" s="67">
        <f>O49+P49</f>
        <v/>
      </c>
      <c r="R49" s="63">
        <f>Assumptions!$B$33*(1+Assumptions!$B$34)^(C49-1)/12</f>
        <v/>
      </c>
      <c r="S49" s="68">
        <f>L49</f>
        <v/>
      </c>
      <c r="T49" s="68">
        <f>Q49-R49-S49-AP49</f>
        <v/>
      </c>
      <c r="U49" s="68">
        <f>MIN(AE49,M49*Assumptions!$B$24/(1+Assumptions!$B$24))</f>
        <v/>
      </c>
      <c r="V49" s="63">
        <f>((U49+U48)/2)*Assumptions!$B$23/12</f>
        <v/>
      </c>
      <c r="W49" s="67">
        <f>T49-V49+AJ49</f>
        <v/>
      </c>
      <c r="X49" s="68">
        <f>X48+W49</f>
        <v/>
      </c>
      <c r="Y49" s="68">
        <f>MAX(M49-U49,0)</f>
        <v/>
      </c>
      <c r="Z49" s="63">
        <f>R49*Assumptions!$B$25</f>
        <v/>
      </c>
      <c r="AA49" s="67">
        <f>Y49+Z49</f>
        <v/>
      </c>
      <c r="AB49" s="68">
        <f>MAX(AB48,AA49)</f>
        <v/>
      </c>
      <c r="AC49" s="67" t="n">
        <v>0</v>
      </c>
      <c r="AD49" s="67">
        <f>AK49+AC49</f>
        <v/>
      </c>
      <c r="AE49" s="102">
        <f>IF(SUM($H$4:H49)&lt;Assumptions!$B$57,0,MAX(MAX(Assumptions!$B$44,AE48),IF(M49*Assumptions!$B$24/(1+Assumptions!$B$24)&gt;MAX(Assumptions!$B$44,AE48)*Assumptions!$B$53,M49*Assumptions!$B$24/(1+Assumptions!$B$24)/Assumptions!$B$54,MAX(Assumptions!$B$44,AE48))))</f>
        <v/>
      </c>
      <c r="AF49" s="102">
        <f>U49-U48</f>
        <v/>
      </c>
      <c r="AG49" s="103">
        <f>IFERROR(U49/AE49,0)</f>
        <v/>
      </c>
      <c r="AH49" s="102">
        <f>MAX(0,AE49-AE48)</f>
        <v/>
      </c>
      <c r="AI49" s="102">
        <f>MAX(AD48-Z49,0)</f>
        <v/>
      </c>
      <c r="AJ49" s="102">
        <f>AI49*Assumptions!$B$46/12</f>
        <v/>
      </c>
      <c r="AK49" s="102">
        <f>AD48+Q49-R49-I49+K49+AF49-V49+AJ49-AP49</f>
        <v/>
      </c>
      <c r="AL49" s="104">
        <f>TRIM(IF(AH49&gt;0,"Increase warehouse facility to $"&amp;TEXT(AE49,"#,##0")&amp;" (from $"&amp;TEXT(AE48,"#,##0")&amp;"). ","")&amp;IF(AC49&gt;0,"Raise ~$"&amp;TEXT(AC49,"#,##0")&amp;" of equity — annual raise, funds the next 12 months.",""))</f>
        <v/>
      </c>
      <c r="AM49" s="102">
        <f>Q49-R49-I49+K49+AF49-V49-AP49</f>
        <v/>
      </c>
      <c r="AN49" s="132">
        <f>SUM($H$4:H49)</f>
        <v/>
      </c>
      <c r="AO49" s="102">
        <f>H49*Assumptions!$B$16</f>
        <v/>
      </c>
      <c r="AP49" s="102">
        <f>MAX(AO49*Assumptions!$B$62,Assumptions!$B$63)+Assumptions!$B$64/12</f>
        <v/>
      </c>
      <c r="AQ49" s="102">
        <f>(O49+P49)*Assumptions!$B$61/(1-Assumptions!$B$61)</f>
        <v/>
      </c>
    </row>
    <row r="50" ht="15" customHeight="1" s="85">
      <c r="A50" s="46" t="n">
        <v>47</v>
      </c>
      <c r="B50" s="32">
        <f>EDATE(Assumptions!$B$4,46)</f>
        <v/>
      </c>
      <c r="C50" s="47">
        <f>INT((A50-1)/12)+1</f>
        <v/>
      </c>
      <c r="D50" s="36">
        <f>IF(C50=1,Assumptions!$B$6,IF(C50=2,Assumptions!$B$7,IF(C50=3,Assumptions!$B$8,IF(C50=4,Assumptions!$B$9,Assumptions!$B$10))))</f>
        <v/>
      </c>
      <c r="E50" s="36">
        <f>ROUND(F49*Assumptions!$B$11,0)</f>
        <v/>
      </c>
      <c r="F50" s="36">
        <f>F49+D50-E50</f>
        <v/>
      </c>
      <c r="G50" s="36">
        <f>ROUND(F50*Assumptions!$B$14*(365/12/7),0)</f>
        <v/>
      </c>
      <c r="H50" s="36">
        <f>ROUND(G50*Assumptions!$B$15,0)</f>
        <v/>
      </c>
      <c r="I50" s="38">
        <f>AO50*(1-Assumptions!$B$61)</f>
        <v/>
      </c>
      <c r="J50" s="38">
        <f>M49</f>
        <v/>
      </c>
      <c r="K50" s="40">
        <f>IFERROR(J50/Assumptions!$B$17,0)</f>
        <v/>
      </c>
      <c r="L50" s="40">
        <f>J50*Assumptions!$B$20/12</f>
        <v/>
      </c>
      <c r="M50" s="41">
        <f>MAX(J50+I50-K50-L50,0)</f>
        <v/>
      </c>
      <c r="N50" s="40">
        <f>(J50+M50)/2</f>
        <v/>
      </c>
      <c r="O50" s="38">
        <f>N50*Assumptions!$B$18/12</f>
        <v/>
      </c>
      <c r="P50" s="38">
        <f>I50*Assumptions!$B$19</f>
        <v/>
      </c>
      <c r="Q50" s="41">
        <f>O50+P50</f>
        <v/>
      </c>
      <c r="R50" s="38">
        <f>Assumptions!$B$33*(1+Assumptions!$B$34)^(C50-1)/12</f>
        <v/>
      </c>
      <c r="S50" s="40">
        <f>L50</f>
        <v/>
      </c>
      <c r="T50" s="40">
        <f>Q50-R50-S50-AP50</f>
        <v/>
      </c>
      <c r="U50" s="40">
        <f>MIN(AE50,M50*Assumptions!$B$24/(1+Assumptions!$B$24))</f>
        <v/>
      </c>
      <c r="V50" s="38">
        <f>((U50+U49)/2)*Assumptions!$B$23/12</f>
        <v/>
      </c>
      <c r="W50" s="41">
        <f>T50-V50+AJ50</f>
        <v/>
      </c>
      <c r="X50" s="40">
        <f>X49+W50</f>
        <v/>
      </c>
      <c r="Y50" s="40">
        <f>MAX(M50-U50,0)</f>
        <v/>
      </c>
      <c r="Z50" s="38">
        <f>R50*Assumptions!$B$25</f>
        <v/>
      </c>
      <c r="AA50" s="41">
        <f>Y50+Z50</f>
        <v/>
      </c>
      <c r="AB50" s="40">
        <f>MAX(AB49,AA50)</f>
        <v/>
      </c>
      <c r="AC50" s="41" t="n">
        <v>0</v>
      </c>
      <c r="AD50" s="41">
        <f>AK50+AC50</f>
        <v/>
      </c>
      <c r="AE50" s="102">
        <f>IF(SUM($H$4:H50)&lt;Assumptions!$B$57,0,MAX(MAX(Assumptions!$B$44,AE49),IF(M50*Assumptions!$B$24/(1+Assumptions!$B$24)&gt;MAX(Assumptions!$B$44,AE49)*Assumptions!$B$53,M50*Assumptions!$B$24/(1+Assumptions!$B$24)/Assumptions!$B$54,MAX(Assumptions!$B$44,AE49))))</f>
        <v/>
      </c>
      <c r="AF50" s="102">
        <f>U50-U49</f>
        <v/>
      </c>
      <c r="AG50" s="103">
        <f>IFERROR(U50/AE50,0)</f>
        <v/>
      </c>
      <c r="AH50" s="102">
        <f>MAX(0,AE50-AE49)</f>
        <v/>
      </c>
      <c r="AI50" s="102">
        <f>MAX(AD49-Z50,0)</f>
        <v/>
      </c>
      <c r="AJ50" s="102">
        <f>AI50*Assumptions!$B$46/12</f>
        <v/>
      </c>
      <c r="AK50" s="102">
        <f>AD49+Q50-R50-I50+K50+AF50-V50+AJ50-AP50</f>
        <v/>
      </c>
      <c r="AL50" s="104">
        <f>TRIM(IF(AH50&gt;0,"Increase warehouse facility to $"&amp;TEXT(AE50,"#,##0")&amp;" (from $"&amp;TEXT(AE49,"#,##0")&amp;"). ","")&amp;IF(AC50&gt;0,"Raise ~$"&amp;TEXT(AC50,"#,##0")&amp;" of equity — annual raise, funds the next 12 months.",""))</f>
        <v/>
      </c>
      <c r="AM50" s="102">
        <f>Q50-R50-I50+K50+AF50-V50-AP50</f>
        <v/>
      </c>
      <c r="AN50" s="132">
        <f>SUM($H$4:H50)</f>
        <v/>
      </c>
      <c r="AO50" s="102">
        <f>H50*Assumptions!$B$16</f>
        <v/>
      </c>
      <c r="AP50" s="102">
        <f>MAX(AO50*Assumptions!$B$62,Assumptions!$B$63)+Assumptions!$B$64/12</f>
        <v/>
      </c>
      <c r="AQ50" s="102">
        <f>(O50+P50)*Assumptions!$B$61/(1-Assumptions!$B$61)</f>
        <v/>
      </c>
    </row>
    <row r="51" ht="15" customHeight="1" s="85">
      <c r="A51" s="58" t="n">
        <v>48</v>
      </c>
      <c r="B51" s="59">
        <f>EDATE(Assumptions!$B$4,47)</f>
        <v/>
      </c>
      <c r="C51" s="66">
        <f>INT((A51-1)/12)+1</f>
        <v/>
      </c>
      <c r="D51" s="62">
        <f>IF(C51=1,Assumptions!$B$6,IF(C51=2,Assumptions!$B$7,IF(C51=3,Assumptions!$B$8,IF(C51=4,Assumptions!$B$9,Assumptions!$B$10))))</f>
        <v/>
      </c>
      <c r="E51" s="62">
        <f>ROUND(F50*Assumptions!$B$11,0)</f>
        <v/>
      </c>
      <c r="F51" s="62">
        <f>F50+D51-E51</f>
        <v/>
      </c>
      <c r="G51" s="62">
        <f>ROUND(F51*Assumptions!$B$14*(365/12/7),0)</f>
        <v/>
      </c>
      <c r="H51" s="62">
        <f>ROUND(G51*Assumptions!$B$15,0)</f>
        <v/>
      </c>
      <c r="I51" s="63">
        <f>AO51*(1-Assumptions!$B$61)</f>
        <v/>
      </c>
      <c r="J51" s="63">
        <f>M50</f>
        <v/>
      </c>
      <c r="K51" s="68">
        <f>IFERROR(J51/Assumptions!$B$17,0)</f>
        <v/>
      </c>
      <c r="L51" s="68">
        <f>J51*Assumptions!$B$20/12</f>
        <v/>
      </c>
      <c r="M51" s="67">
        <f>MAX(J51+I51-K51-L51,0)</f>
        <v/>
      </c>
      <c r="N51" s="68">
        <f>(J51+M51)/2</f>
        <v/>
      </c>
      <c r="O51" s="63">
        <f>N51*Assumptions!$B$18/12</f>
        <v/>
      </c>
      <c r="P51" s="63">
        <f>I51*Assumptions!$B$19</f>
        <v/>
      </c>
      <c r="Q51" s="67">
        <f>O51+P51</f>
        <v/>
      </c>
      <c r="R51" s="63">
        <f>Assumptions!$B$33*(1+Assumptions!$B$34)^(C51-1)/12</f>
        <v/>
      </c>
      <c r="S51" s="68">
        <f>L51</f>
        <v/>
      </c>
      <c r="T51" s="68">
        <f>Q51-R51-S51-AP51</f>
        <v/>
      </c>
      <c r="U51" s="68">
        <f>MIN(AE51,M51*Assumptions!$B$24/(1+Assumptions!$B$24))</f>
        <v/>
      </c>
      <c r="V51" s="63">
        <f>((U51+U50)/2)*Assumptions!$B$23/12</f>
        <v/>
      </c>
      <c r="W51" s="67">
        <f>T51-V51+AJ51</f>
        <v/>
      </c>
      <c r="X51" s="68">
        <f>X50+W51</f>
        <v/>
      </c>
      <c r="Y51" s="68">
        <f>MAX(M51-U51,0)</f>
        <v/>
      </c>
      <c r="Z51" s="63">
        <f>R51*Assumptions!$B$25</f>
        <v/>
      </c>
      <c r="AA51" s="67">
        <f>Y51+Z51</f>
        <v/>
      </c>
      <c r="AB51" s="68">
        <f>MAX(AB50,AA51)</f>
        <v/>
      </c>
      <c r="AC51" s="67" t="n">
        <v>0</v>
      </c>
      <c r="AD51" s="67">
        <f>AK51+AC51</f>
        <v/>
      </c>
      <c r="AE51" s="102">
        <f>IF(SUM($H$4:H51)&lt;Assumptions!$B$57,0,MAX(MAX(Assumptions!$B$44,AE50),IF(M51*Assumptions!$B$24/(1+Assumptions!$B$24)&gt;MAX(Assumptions!$B$44,AE50)*Assumptions!$B$53,M51*Assumptions!$B$24/(1+Assumptions!$B$24)/Assumptions!$B$54,MAX(Assumptions!$B$44,AE50))))</f>
        <v/>
      </c>
      <c r="AF51" s="102">
        <f>U51-U50</f>
        <v/>
      </c>
      <c r="AG51" s="103">
        <f>IFERROR(U51/AE51,0)</f>
        <v/>
      </c>
      <c r="AH51" s="102">
        <f>MAX(0,AE51-AE50)</f>
        <v/>
      </c>
      <c r="AI51" s="102">
        <f>MAX(AD50-Z51,0)</f>
        <v/>
      </c>
      <c r="AJ51" s="102">
        <f>AI51*Assumptions!$B$46/12</f>
        <v/>
      </c>
      <c r="AK51" s="102">
        <f>AD50+Q51-R51-I51+K51+AF51-V51+AJ51-AP51</f>
        <v/>
      </c>
      <c r="AL51" s="104">
        <f>TRIM(IF(AH51&gt;0,"Increase warehouse facility to $"&amp;TEXT(AE51,"#,##0")&amp;" (from $"&amp;TEXT(AE50,"#,##0")&amp;"). ","")&amp;IF(AC51&gt;0,"Raise ~$"&amp;TEXT(AC51,"#,##0")&amp;" of equity — annual raise, funds the next 12 months.",""))</f>
        <v/>
      </c>
      <c r="AM51" s="102">
        <f>Q51-R51-I51+K51+AF51-V51-AP51</f>
        <v/>
      </c>
      <c r="AN51" s="132">
        <f>SUM($H$4:H51)</f>
        <v/>
      </c>
      <c r="AO51" s="102">
        <f>H51*Assumptions!$B$16</f>
        <v/>
      </c>
      <c r="AP51" s="102">
        <f>MAX(AO51*Assumptions!$B$62,Assumptions!$B$63)+Assumptions!$B$64/12</f>
        <v/>
      </c>
      <c r="AQ51" s="102">
        <f>(O51+P51)*Assumptions!$B$61/(1-Assumptions!$B$61)</f>
        <v/>
      </c>
    </row>
    <row r="52" ht="15" customHeight="1" s="85">
      <c r="A52" s="46" t="n">
        <v>49</v>
      </c>
      <c r="B52" s="32">
        <f>EDATE(Assumptions!$B$4,48)</f>
        <v/>
      </c>
      <c r="C52" s="47">
        <f>INT((A52-1)/12)+1</f>
        <v/>
      </c>
      <c r="D52" s="36">
        <f>IF(C52=1,Assumptions!$B$6,IF(C52=2,Assumptions!$B$7,IF(C52=3,Assumptions!$B$8,IF(C52=4,Assumptions!$B$9,Assumptions!$B$10))))</f>
        <v/>
      </c>
      <c r="E52" s="36">
        <f>ROUND(F51*Assumptions!$B$11,0)</f>
        <v/>
      </c>
      <c r="F52" s="36">
        <f>F51+D52-E52</f>
        <v/>
      </c>
      <c r="G52" s="36">
        <f>ROUND(F52*Assumptions!$B$14*(365/12/7),0)</f>
        <v/>
      </c>
      <c r="H52" s="36">
        <f>ROUND(G52*Assumptions!$B$15,0)</f>
        <v/>
      </c>
      <c r="I52" s="38">
        <f>AO52*(1-Assumptions!$B$61)</f>
        <v/>
      </c>
      <c r="J52" s="38">
        <f>M51</f>
        <v/>
      </c>
      <c r="K52" s="40">
        <f>IFERROR(J52/Assumptions!$B$17,0)</f>
        <v/>
      </c>
      <c r="L52" s="40">
        <f>J52*Assumptions!$B$20/12</f>
        <v/>
      </c>
      <c r="M52" s="41">
        <f>MAX(J52+I52-K52-L52,0)</f>
        <v/>
      </c>
      <c r="N52" s="40">
        <f>(J52+M52)/2</f>
        <v/>
      </c>
      <c r="O52" s="38">
        <f>N52*Assumptions!$B$18/12</f>
        <v/>
      </c>
      <c r="P52" s="38">
        <f>I52*Assumptions!$B$19</f>
        <v/>
      </c>
      <c r="Q52" s="41">
        <f>O52+P52</f>
        <v/>
      </c>
      <c r="R52" s="38">
        <f>Assumptions!$B$33*(1+Assumptions!$B$34)^(C52-1)/12</f>
        <v/>
      </c>
      <c r="S52" s="40">
        <f>L52</f>
        <v/>
      </c>
      <c r="T52" s="40">
        <f>Q52-R52-S52-AP52</f>
        <v/>
      </c>
      <c r="U52" s="40">
        <f>MIN(AE52,M52*Assumptions!$B$24/(1+Assumptions!$B$24))</f>
        <v/>
      </c>
      <c r="V52" s="38">
        <f>((U52+U51)/2)*Assumptions!$B$23/12</f>
        <v/>
      </c>
      <c r="W52" s="41">
        <f>T52-V52+AJ52</f>
        <v/>
      </c>
      <c r="X52" s="40">
        <f>X51+W52</f>
        <v/>
      </c>
      <c r="Y52" s="40">
        <f>MAX(M52-U52,0)</f>
        <v/>
      </c>
      <c r="Z52" s="38">
        <f>R52*Assumptions!$B$25</f>
        <v/>
      </c>
      <c r="AA52" s="41">
        <f>Y52+Z52</f>
        <v/>
      </c>
      <c r="AB52" s="40">
        <f>MAX(AB51,AA52)</f>
        <v/>
      </c>
      <c r="AC52" s="41">
        <f>MAX(0,MAX(Z52-AD51-AM52,Z53-AD51-SUM(AM52:AM53),Z54-AD51-SUM(AM52:AM54),Z55-AD51-SUM(AM52:AM55),Z56-AD51-SUM(AM52:AM56),Z57-AD51-SUM(AM52:AM57),Z58-AD51-SUM(AM52:AM58),Z59-AD51-SUM(AM52:AM59),Z60-AD51-SUM(AM52:AM60),Z61-AD51-SUM(AM52:AM61),Z62-AD51-SUM(AM52:AM62),Z63-AD51-SUM(AM52:AM63)))</f>
        <v/>
      </c>
      <c r="AD52" s="41">
        <f>AK52+AC52</f>
        <v/>
      </c>
      <c r="AE52" s="102">
        <f>IF(SUM($H$4:H52)&lt;Assumptions!$B$57,0,MAX(MAX(Assumptions!$B$44,AE51),IF(M52*Assumptions!$B$24/(1+Assumptions!$B$24)&gt;MAX(Assumptions!$B$44,AE51)*Assumptions!$B$53,M52*Assumptions!$B$24/(1+Assumptions!$B$24)/Assumptions!$B$54,MAX(Assumptions!$B$44,AE51))))</f>
        <v/>
      </c>
      <c r="AF52" s="102">
        <f>U52-U51</f>
        <v/>
      </c>
      <c r="AG52" s="103">
        <f>IFERROR(U52/AE52,0)</f>
        <v/>
      </c>
      <c r="AH52" s="102">
        <f>MAX(0,AE52-AE51)</f>
        <v/>
      </c>
      <c r="AI52" s="102">
        <f>MAX(AD51-Z52,0)</f>
        <v/>
      </c>
      <c r="AJ52" s="102">
        <f>AI52*Assumptions!$B$46/12</f>
        <v/>
      </c>
      <c r="AK52" s="102">
        <f>AD51+Q52-R52-I52+K52+AF52-V52+AJ52-AP52</f>
        <v/>
      </c>
      <c r="AL52" s="104">
        <f>TRIM(IF(AH52&gt;0,"Increase warehouse facility to $"&amp;TEXT(AE52,"#,##0")&amp;" (from $"&amp;TEXT(AE51,"#,##0")&amp;"). ","")&amp;IF(AC52&gt;0,"Raise ~$"&amp;TEXT(AC52,"#,##0")&amp;" of equity — annual raise, funds the next 12 months.",""))</f>
        <v/>
      </c>
      <c r="AM52" s="102">
        <f>Q52-R52-I52+K52+AF52-V52-AP52</f>
        <v/>
      </c>
      <c r="AN52" s="132">
        <f>SUM($H$4:H52)</f>
        <v/>
      </c>
      <c r="AO52" s="102">
        <f>H52*Assumptions!$B$16</f>
        <v/>
      </c>
      <c r="AP52" s="102">
        <f>MAX(AO52*Assumptions!$B$62,Assumptions!$B$63)+Assumptions!$B$64/12</f>
        <v/>
      </c>
      <c r="AQ52" s="102">
        <f>(O52+P52)*Assumptions!$B$61/(1-Assumptions!$B$61)</f>
        <v/>
      </c>
    </row>
    <row r="53" ht="15" customHeight="1" s="85">
      <c r="A53" s="58" t="n">
        <v>50</v>
      </c>
      <c r="B53" s="59">
        <f>EDATE(Assumptions!$B$4,49)</f>
        <v/>
      </c>
      <c r="C53" s="66">
        <f>INT((A53-1)/12)+1</f>
        <v/>
      </c>
      <c r="D53" s="62">
        <f>IF(C53=1,Assumptions!$B$6,IF(C53=2,Assumptions!$B$7,IF(C53=3,Assumptions!$B$8,IF(C53=4,Assumptions!$B$9,Assumptions!$B$10))))</f>
        <v/>
      </c>
      <c r="E53" s="62">
        <f>ROUND(F52*Assumptions!$B$11,0)</f>
        <v/>
      </c>
      <c r="F53" s="62">
        <f>F52+D53-E53</f>
        <v/>
      </c>
      <c r="G53" s="62">
        <f>ROUND(F53*Assumptions!$B$14*(365/12/7),0)</f>
        <v/>
      </c>
      <c r="H53" s="62">
        <f>ROUND(G53*Assumptions!$B$15,0)</f>
        <v/>
      </c>
      <c r="I53" s="63">
        <f>AO53*(1-Assumptions!$B$61)</f>
        <v/>
      </c>
      <c r="J53" s="63">
        <f>M52</f>
        <v/>
      </c>
      <c r="K53" s="68">
        <f>IFERROR(J53/Assumptions!$B$17,0)</f>
        <v/>
      </c>
      <c r="L53" s="68">
        <f>J53*Assumptions!$B$20/12</f>
        <v/>
      </c>
      <c r="M53" s="67">
        <f>MAX(J53+I53-K53-L53,0)</f>
        <v/>
      </c>
      <c r="N53" s="68">
        <f>(J53+M53)/2</f>
        <v/>
      </c>
      <c r="O53" s="63">
        <f>N53*Assumptions!$B$18/12</f>
        <v/>
      </c>
      <c r="P53" s="63">
        <f>I53*Assumptions!$B$19</f>
        <v/>
      </c>
      <c r="Q53" s="67">
        <f>O53+P53</f>
        <v/>
      </c>
      <c r="R53" s="63">
        <f>Assumptions!$B$33*(1+Assumptions!$B$34)^(C53-1)/12</f>
        <v/>
      </c>
      <c r="S53" s="68">
        <f>L53</f>
        <v/>
      </c>
      <c r="T53" s="68">
        <f>Q53-R53-S53-AP53</f>
        <v/>
      </c>
      <c r="U53" s="68">
        <f>MIN(AE53,M53*Assumptions!$B$24/(1+Assumptions!$B$24))</f>
        <v/>
      </c>
      <c r="V53" s="63">
        <f>((U53+U52)/2)*Assumptions!$B$23/12</f>
        <v/>
      </c>
      <c r="W53" s="67">
        <f>T53-V53+AJ53</f>
        <v/>
      </c>
      <c r="X53" s="68">
        <f>X52+W53</f>
        <v/>
      </c>
      <c r="Y53" s="68">
        <f>MAX(M53-U53,0)</f>
        <v/>
      </c>
      <c r="Z53" s="63">
        <f>R53*Assumptions!$B$25</f>
        <v/>
      </c>
      <c r="AA53" s="67">
        <f>Y53+Z53</f>
        <v/>
      </c>
      <c r="AB53" s="68">
        <f>MAX(AB52,AA53)</f>
        <v/>
      </c>
      <c r="AC53" s="67" t="n">
        <v>0</v>
      </c>
      <c r="AD53" s="67">
        <f>AK53+AC53</f>
        <v/>
      </c>
      <c r="AE53" s="102">
        <f>IF(SUM($H$4:H53)&lt;Assumptions!$B$57,0,MAX(MAX(Assumptions!$B$44,AE52),IF(M53*Assumptions!$B$24/(1+Assumptions!$B$24)&gt;MAX(Assumptions!$B$44,AE52)*Assumptions!$B$53,M53*Assumptions!$B$24/(1+Assumptions!$B$24)/Assumptions!$B$54,MAX(Assumptions!$B$44,AE52))))</f>
        <v/>
      </c>
      <c r="AF53" s="102">
        <f>U53-U52</f>
        <v/>
      </c>
      <c r="AG53" s="103">
        <f>IFERROR(U53/AE53,0)</f>
        <v/>
      </c>
      <c r="AH53" s="102">
        <f>MAX(0,AE53-AE52)</f>
        <v/>
      </c>
      <c r="AI53" s="102">
        <f>MAX(AD52-Z53,0)</f>
        <v/>
      </c>
      <c r="AJ53" s="102">
        <f>AI53*Assumptions!$B$46/12</f>
        <v/>
      </c>
      <c r="AK53" s="102">
        <f>AD52+Q53-R53-I53+K53+AF53-V53+AJ53-AP53</f>
        <v/>
      </c>
      <c r="AL53" s="104">
        <f>TRIM(IF(AH53&gt;0,"Increase warehouse facility to $"&amp;TEXT(AE53,"#,##0")&amp;" (from $"&amp;TEXT(AE52,"#,##0")&amp;"). ","")&amp;IF(AC53&gt;0,"Raise ~$"&amp;TEXT(AC53,"#,##0")&amp;" of equity — annual raise, funds the next 12 months.",""))</f>
        <v/>
      </c>
      <c r="AM53" s="102">
        <f>Q53-R53-I53+K53+AF53-V53-AP53</f>
        <v/>
      </c>
      <c r="AN53" s="132">
        <f>SUM($H$4:H53)</f>
        <v/>
      </c>
      <c r="AO53" s="102">
        <f>H53*Assumptions!$B$16</f>
        <v/>
      </c>
      <c r="AP53" s="102">
        <f>MAX(AO53*Assumptions!$B$62,Assumptions!$B$63)+Assumptions!$B$64/12</f>
        <v/>
      </c>
      <c r="AQ53" s="102">
        <f>(O53+P53)*Assumptions!$B$61/(1-Assumptions!$B$61)</f>
        <v/>
      </c>
    </row>
    <row r="54" ht="15" customHeight="1" s="85">
      <c r="A54" s="46" t="n">
        <v>51</v>
      </c>
      <c r="B54" s="32">
        <f>EDATE(Assumptions!$B$4,50)</f>
        <v/>
      </c>
      <c r="C54" s="47">
        <f>INT((A54-1)/12)+1</f>
        <v/>
      </c>
      <c r="D54" s="36">
        <f>IF(C54=1,Assumptions!$B$6,IF(C54=2,Assumptions!$B$7,IF(C54=3,Assumptions!$B$8,IF(C54=4,Assumptions!$B$9,Assumptions!$B$10))))</f>
        <v/>
      </c>
      <c r="E54" s="36">
        <f>ROUND(F53*Assumptions!$B$11,0)</f>
        <v/>
      </c>
      <c r="F54" s="36">
        <f>F53+D54-E54</f>
        <v/>
      </c>
      <c r="G54" s="36">
        <f>ROUND(F54*Assumptions!$B$14*(365/12/7),0)</f>
        <v/>
      </c>
      <c r="H54" s="36">
        <f>ROUND(G54*Assumptions!$B$15,0)</f>
        <v/>
      </c>
      <c r="I54" s="38">
        <f>AO54*(1-Assumptions!$B$61)</f>
        <v/>
      </c>
      <c r="J54" s="38">
        <f>M53</f>
        <v/>
      </c>
      <c r="K54" s="40">
        <f>IFERROR(J54/Assumptions!$B$17,0)</f>
        <v/>
      </c>
      <c r="L54" s="40">
        <f>J54*Assumptions!$B$20/12</f>
        <v/>
      </c>
      <c r="M54" s="41">
        <f>MAX(J54+I54-K54-L54,0)</f>
        <v/>
      </c>
      <c r="N54" s="40">
        <f>(J54+M54)/2</f>
        <v/>
      </c>
      <c r="O54" s="38">
        <f>N54*Assumptions!$B$18/12</f>
        <v/>
      </c>
      <c r="P54" s="38">
        <f>I54*Assumptions!$B$19</f>
        <v/>
      </c>
      <c r="Q54" s="41">
        <f>O54+P54</f>
        <v/>
      </c>
      <c r="R54" s="38">
        <f>Assumptions!$B$33*(1+Assumptions!$B$34)^(C54-1)/12</f>
        <v/>
      </c>
      <c r="S54" s="40">
        <f>L54</f>
        <v/>
      </c>
      <c r="T54" s="40">
        <f>Q54-R54-S54-AP54</f>
        <v/>
      </c>
      <c r="U54" s="40">
        <f>MIN(AE54,M54*Assumptions!$B$24/(1+Assumptions!$B$24))</f>
        <v/>
      </c>
      <c r="V54" s="38">
        <f>((U54+U53)/2)*Assumptions!$B$23/12</f>
        <v/>
      </c>
      <c r="W54" s="41">
        <f>T54-V54+AJ54</f>
        <v/>
      </c>
      <c r="X54" s="40">
        <f>X53+W54</f>
        <v/>
      </c>
      <c r="Y54" s="40">
        <f>MAX(M54-U54,0)</f>
        <v/>
      </c>
      <c r="Z54" s="38">
        <f>R54*Assumptions!$B$25</f>
        <v/>
      </c>
      <c r="AA54" s="41">
        <f>Y54+Z54</f>
        <v/>
      </c>
      <c r="AB54" s="40">
        <f>MAX(AB53,AA54)</f>
        <v/>
      </c>
      <c r="AC54" s="41" t="n">
        <v>0</v>
      </c>
      <c r="AD54" s="41">
        <f>AK54+AC54</f>
        <v/>
      </c>
      <c r="AE54" s="102">
        <f>IF(SUM($H$4:H54)&lt;Assumptions!$B$57,0,MAX(MAX(Assumptions!$B$44,AE53),IF(M54*Assumptions!$B$24/(1+Assumptions!$B$24)&gt;MAX(Assumptions!$B$44,AE53)*Assumptions!$B$53,M54*Assumptions!$B$24/(1+Assumptions!$B$24)/Assumptions!$B$54,MAX(Assumptions!$B$44,AE53))))</f>
        <v/>
      </c>
      <c r="AF54" s="102">
        <f>U54-U53</f>
        <v/>
      </c>
      <c r="AG54" s="103">
        <f>IFERROR(U54/AE54,0)</f>
        <v/>
      </c>
      <c r="AH54" s="102">
        <f>MAX(0,AE54-AE53)</f>
        <v/>
      </c>
      <c r="AI54" s="102">
        <f>MAX(AD53-Z54,0)</f>
        <v/>
      </c>
      <c r="AJ54" s="102">
        <f>AI54*Assumptions!$B$46/12</f>
        <v/>
      </c>
      <c r="AK54" s="102">
        <f>AD53+Q54-R54-I54+K54+AF54-V54+AJ54-AP54</f>
        <v/>
      </c>
      <c r="AL54" s="104">
        <f>TRIM(IF(AH54&gt;0,"Increase warehouse facility to $"&amp;TEXT(AE54,"#,##0")&amp;" (from $"&amp;TEXT(AE53,"#,##0")&amp;"). ","")&amp;IF(AC54&gt;0,"Raise ~$"&amp;TEXT(AC54,"#,##0")&amp;" of equity — annual raise, funds the next 12 months.",""))</f>
        <v/>
      </c>
      <c r="AM54" s="102">
        <f>Q54-R54-I54+K54+AF54-V54-AP54</f>
        <v/>
      </c>
      <c r="AN54" s="132">
        <f>SUM($H$4:H54)</f>
        <v/>
      </c>
      <c r="AO54" s="102">
        <f>H54*Assumptions!$B$16</f>
        <v/>
      </c>
      <c r="AP54" s="102">
        <f>MAX(AO54*Assumptions!$B$62,Assumptions!$B$63)+Assumptions!$B$64/12</f>
        <v/>
      </c>
      <c r="AQ54" s="102">
        <f>(O54+P54)*Assumptions!$B$61/(1-Assumptions!$B$61)</f>
        <v/>
      </c>
    </row>
    <row r="55" ht="15" customHeight="1" s="85">
      <c r="A55" s="58" t="n">
        <v>52</v>
      </c>
      <c r="B55" s="59">
        <f>EDATE(Assumptions!$B$4,51)</f>
        <v/>
      </c>
      <c r="C55" s="66">
        <f>INT((A55-1)/12)+1</f>
        <v/>
      </c>
      <c r="D55" s="62">
        <f>IF(C55=1,Assumptions!$B$6,IF(C55=2,Assumptions!$B$7,IF(C55=3,Assumptions!$B$8,IF(C55=4,Assumptions!$B$9,Assumptions!$B$10))))</f>
        <v/>
      </c>
      <c r="E55" s="62">
        <f>ROUND(F54*Assumptions!$B$11,0)</f>
        <v/>
      </c>
      <c r="F55" s="62">
        <f>F54+D55-E55</f>
        <v/>
      </c>
      <c r="G55" s="62">
        <f>ROUND(F55*Assumptions!$B$14*(365/12/7),0)</f>
        <v/>
      </c>
      <c r="H55" s="62">
        <f>ROUND(G55*Assumptions!$B$15,0)</f>
        <v/>
      </c>
      <c r="I55" s="63">
        <f>AO55*(1-Assumptions!$B$61)</f>
        <v/>
      </c>
      <c r="J55" s="63">
        <f>M54</f>
        <v/>
      </c>
      <c r="K55" s="68">
        <f>IFERROR(J55/Assumptions!$B$17,0)</f>
        <v/>
      </c>
      <c r="L55" s="68">
        <f>J55*Assumptions!$B$20/12</f>
        <v/>
      </c>
      <c r="M55" s="67">
        <f>MAX(J55+I55-K55-L55,0)</f>
        <v/>
      </c>
      <c r="N55" s="68">
        <f>(J55+M55)/2</f>
        <v/>
      </c>
      <c r="O55" s="63">
        <f>N55*Assumptions!$B$18/12</f>
        <v/>
      </c>
      <c r="P55" s="63">
        <f>I55*Assumptions!$B$19</f>
        <v/>
      </c>
      <c r="Q55" s="67">
        <f>O55+P55</f>
        <v/>
      </c>
      <c r="R55" s="63">
        <f>Assumptions!$B$33*(1+Assumptions!$B$34)^(C55-1)/12</f>
        <v/>
      </c>
      <c r="S55" s="68">
        <f>L55</f>
        <v/>
      </c>
      <c r="T55" s="68">
        <f>Q55-R55-S55-AP55</f>
        <v/>
      </c>
      <c r="U55" s="68">
        <f>MIN(AE55,M55*Assumptions!$B$24/(1+Assumptions!$B$24))</f>
        <v/>
      </c>
      <c r="V55" s="63">
        <f>((U55+U54)/2)*Assumptions!$B$23/12</f>
        <v/>
      </c>
      <c r="W55" s="67">
        <f>T55-V55+AJ55</f>
        <v/>
      </c>
      <c r="X55" s="68">
        <f>X54+W55</f>
        <v/>
      </c>
      <c r="Y55" s="68">
        <f>MAX(M55-U55,0)</f>
        <v/>
      </c>
      <c r="Z55" s="63">
        <f>R55*Assumptions!$B$25</f>
        <v/>
      </c>
      <c r="AA55" s="67">
        <f>Y55+Z55</f>
        <v/>
      </c>
      <c r="AB55" s="68">
        <f>MAX(AB54,AA55)</f>
        <v/>
      </c>
      <c r="AC55" s="67" t="n">
        <v>0</v>
      </c>
      <c r="AD55" s="67">
        <f>AK55+AC55</f>
        <v/>
      </c>
      <c r="AE55" s="102">
        <f>IF(SUM($H$4:H55)&lt;Assumptions!$B$57,0,MAX(MAX(Assumptions!$B$44,AE54),IF(M55*Assumptions!$B$24/(1+Assumptions!$B$24)&gt;MAX(Assumptions!$B$44,AE54)*Assumptions!$B$53,M55*Assumptions!$B$24/(1+Assumptions!$B$24)/Assumptions!$B$54,MAX(Assumptions!$B$44,AE54))))</f>
        <v/>
      </c>
      <c r="AF55" s="102">
        <f>U55-U54</f>
        <v/>
      </c>
      <c r="AG55" s="103">
        <f>IFERROR(U55/AE55,0)</f>
        <v/>
      </c>
      <c r="AH55" s="102">
        <f>MAX(0,AE55-AE54)</f>
        <v/>
      </c>
      <c r="AI55" s="102">
        <f>MAX(AD54-Z55,0)</f>
        <v/>
      </c>
      <c r="AJ55" s="102">
        <f>AI55*Assumptions!$B$46/12</f>
        <v/>
      </c>
      <c r="AK55" s="102">
        <f>AD54+Q55-R55-I55+K55+AF55-V55+AJ55-AP55</f>
        <v/>
      </c>
      <c r="AL55" s="104">
        <f>TRIM(IF(AH55&gt;0,"Increase warehouse facility to $"&amp;TEXT(AE55,"#,##0")&amp;" (from $"&amp;TEXT(AE54,"#,##0")&amp;"). ","")&amp;IF(AC55&gt;0,"Raise ~$"&amp;TEXT(AC55,"#,##0")&amp;" of equity — annual raise, funds the next 12 months.",""))</f>
        <v/>
      </c>
      <c r="AM55" s="102">
        <f>Q55-R55-I55+K55+AF55-V55-AP55</f>
        <v/>
      </c>
      <c r="AN55" s="132">
        <f>SUM($H$4:H55)</f>
        <v/>
      </c>
      <c r="AO55" s="102">
        <f>H55*Assumptions!$B$16</f>
        <v/>
      </c>
      <c r="AP55" s="102">
        <f>MAX(AO55*Assumptions!$B$62,Assumptions!$B$63)+Assumptions!$B$64/12</f>
        <v/>
      </c>
      <c r="AQ55" s="102">
        <f>(O55+P55)*Assumptions!$B$61/(1-Assumptions!$B$61)</f>
        <v/>
      </c>
    </row>
    <row r="56" ht="15" customHeight="1" s="85">
      <c r="A56" s="46" t="n">
        <v>53</v>
      </c>
      <c r="B56" s="32">
        <f>EDATE(Assumptions!$B$4,52)</f>
        <v/>
      </c>
      <c r="C56" s="47">
        <f>INT((A56-1)/12)+1</f>
        <v/>
      </c>
      <c r="D56" s="36">
        <f>IF(C56=1,Assumptions!$B$6,IF(C56=2,Assumptions!$B$7,IF(C56=3,Assumptions!$B$8,IF(C56=4,Assumptions!$B$9,Assumptions!$B$10))))</f>
        <v/>
      </c>
      <c r="E56" s="36">
        <f>ROUND(F55*Assumptions!$B$11,0)</f>
        <v/>
      </c>
      <c r="F56" s="36">
        <f>F55+D56-E56</f>
        <v/>
      </c>
      <c r="G56" s="36">
        <f>ROUND(F56*Assumptions!$B$14*(365/12/7),0)</f>
        <v/>
      </c>
      <c r="H56" s="36">
        <f>ROUND(G56*Assumptions!$B$15,0)</f>
        <v/>
      </c>
      <c r="I56" s="38">
        <f>AO56*(1-Assumptions!$B$61)</f>
        <v/>
      </c>
      <c r="J56" s="38">
        <f>M55</f>
        <v/>
      </c>
      <c r="K56" s="40">
        <f>IFERROR(J56/Assumptions!$B$17,0)</f>
        <v/>
      </c>
      <c r="L56" s="40">
        <f>J56*Assumptions!$B$20/12</f>
        <v/>
      </c>
      <c r="M56" s="41">
        <f>MAX(J56+I56-K56-L56,0)</f>
        <v/>
      </c>
      <c r="N56" s="40">
        <f>(J56+M56)/2</f>
        <v/>
      </c>
      <c r="O56" s="38">
        <f>N56*Assumptions!$B$18/12</f>
        <v/>
      </c>
      <c r="P56" s="38">
        <f>I56*Assumptions!$B$19</f>
        <v/>
      </c>
      <c r="Q56" s="41">
        <f>O56+P56</f>
        <v/>
      </c>
      <c r="R56" s="38">
        <f>Assumptions!$B$33*(1+Assumptions!$B$34)^(C56-1)/12</f>
        <v/>
      </c>
      <c r="S56" s="40">
        <f>L56</f>
        <v/>
      </c>
      <c r="T56" s="40">
        <f>Q56-R56-S56-AP56</f>
        <v/>
      </c>
      <c r="U56" s="40">
        <f>MIN(AE56,M56*Assumptions!$B$24/(1+Assumptions!$B$24))</f>
        <v/>
      </c>
      <c r="V56" s="38">
        <f>((U56+U55)/2)*Assumptions!$B$23/12</f>
        <v/>
      </c>
      <c r="W56" s="41">
        <f>T56-V56+AJ56</f>
        <v/>
      </c>
      <c r="X56" s="40">
        <f>X55+W56</f>
        <v/>
      </c>
      <c r="Y56" s="40">
        <f>MAX(M56-U56,0)</f>
        <v/>
      </c>
      <c r="Z56" s="38">
        <f>R56*Assumptions!$B$25</f>
        <v/>
      </c>
      <c r="AA56" s="41">
        <f>Y56+Z56</f>
        <v/>
      </c>
      <c r="AB56" s="40">
        <f>MAX(AB55,AA56)</f>
        <v/>
      </c>
      <c r="AC56" s="41" t="n">
        <v>0</v>
      </c>
      <c r="AD56" s="41">
        <f>AK56+AC56</f>
        <v/>
      </c>
      <c r="AE56" s="102">
        <f>IF(SUM($H$4:H56)&lt;Assumptions!$B$57,0,MAX(MAX(Assumptions!$B$44,AE55),IF(M56*Assumptions!$B$24/(1+Assumptions!$B$24)&gt;MAX(Assumptions!$B$44,AE55)*Assumptions!$B$53,M56*Assumptions!$B$24/(1+Assumptions!$B$24)/Assumptions!$B$54,MAX(Assumptions!$B$44,AE55))))</f>
        <v/>
      </c>
      <c r="AF56" s="102">
        <f>U56-U55</f>
        <v/>
      </c>
      <c r="AG56" s="103">
        <f>IFERROR(U56/AE56,0)</f>
        <v/>
      </c>
      <c r="AH56" s="102">
        <f>MAX(0,AE56-AE55)</f>
        <v/>
      </c>
      <c r="AI56" s="102">
        <f>MAX(AD55-Z56,0)</f>
        <v/>
      </c>
      <c r="AJ56" s="102">
        <f>AI56*Assumptions!$B$46/12</f>
        <v/>
      </c>
      <c r="AK56" s="102">
        <f>AD55+Q56-R56-I56+K56+AF56-V56+AJ56-AP56</f>
        <v/>
      </c>
      <c r="AL56" s="104">
        <f>TRIM(IF(AH56&gt;0,"Increase warehouse facility to $"&amp;TEXT(AE56,"#,##0")&amp;" (from $"&amp;TEXT(AE55,"#,##0")&amp;"). ","")&amp;IF(AC56&gt;0,"Raise ~$"&amp;TEXT(AC56,"#,##0")&amp;" of equity — annual raise, funds the next 12 months.",""))</f>
        <v/>
      </c>
      <c r="AM56" s="102">
        <f>Q56-R56-I56+K56+AF56-V56-AP56</f>
        <v/>
      </c>
      <c r="AN56" s="132">
        <f>SUM($H$4:H56)</f>
        <v/>
      </c>
      <c r="AO56" s="102">
        <f>H56*Assumptions!$B$16</f>
        <v/>
      </c>
      <c r="AP56" s="102">
        <f>MAX(AO56*Assumptions!$B$62,Assumptions!$B$63)+Assumptions!$B$64/12</f>
        <v/>
      </c>
      <c r="AQ56" s="102">
        <f>(O56+P56)*Assumptions!$B$61/(1-Assumptions!$B$61)</f>
        <v/>
      </c>
    </row>
    <row r="57" ht="15" customHeight="1" s="85">
      <c r="A57" s="58" t="n">
        <v>54</v>
      </c>
      <c r="B57" s="59">
        <f>EDATE(Assumptions!$B$4,53)</f>
        <v/>
      </c>
      <c r="C57" s="66">
        <f>INT((A57-1)/12)+1</f>
        <v/>
      </c>
      <c r="D57" s="62">
        <f>IF(C57=1,Assumptions!$B$6,IF(C57=2,Assumptions!$B$7,IF(C57=3,Assumptions!$B$8,IF(C57=4,Assumptions!$B$9,Assumptions!$B$10))))</f>
        <v/>
      </c>
      <c r="E57" s="62">
        <f>ROUND(F56*Assumptions!$B$11,0)</f>
        <v/>
      </c>
      <c r="F57" s="62">
        <f>F56+D57-E57</f>
        <v/>
      </c>
      <c r="G57" s="62">
        <f>ROUND(F57*Assumptions!$B$14*(365/12/7),0)</f>
        <v/>
      </c>
      <c r="H57" s="62">
        <f>ROUND(G57*Assumptions!$B$15,0)</f>
        <v/>
      </c>
      <c r="I57" s="63">
        <f>AO57*(1-Assumptions!$B$61)</f>
        <v/>
      </c>
      <c r="J57" s="63">
        <f>M56</f>
        <v/>
      </c>
      <c r="K57" s="68">
        <f>IFERROR(J57/Assumptions!$B$17,0)</f>
        <v/>
      </c>
      <c r="L57" s="68">
        <f>J57*Assumptions!$B$20/12</f>
        <v/>
      </c>
      <c r="M57" s="67">
        <f>MAX(J57+I57-K57-L57,0)</f>
        <v/>
      </c>
      <c r="N57" s="68">
        <f>(J57+M57)/2</f>
        <v/>
      </c>
      <c r="O57" s="63">
        <f>N57*Assumptions!$B$18/12</f>
        <v/>
      </c>
      <c r="P57" s="63">
        <f>I57*Assumptions!$B$19</f>
        <v/>
      </c>
      <c r="Q57" s="67">
        <f>O57+P57</f>
        <v/>
      </c>
      <c r="R57" s="63">
        <f>Assumptions!$B$33*(1+Assumptions!$B$34)^(C57-1)/12</f>
        <v/>
      </c>
      <c r="S57" s="68">
        <f>L57</f>
        <v/>
      </c>
      <c r="T57" s="68">
        <f>Q57-R57-S57-AP57</f>
        <v/>
      </c>
      <c r="U57" s="68">
        <f>MIN(AE57,M57*Assumptions!$B$24/(1+Assumptions!$B$24))</f>
        <v/>
      </c>
      <c r="V57" s="63">
        <f>((U57+U56)/2)*Assumptions!$B$23/12</f>
        <v/>
      </c>
      <c r="W57" s="67">
        <f>T57-V57+AJ57</f>
        <v/>
      </c>
      <c r="X57" s="68">
        <f>X56+W57</f>
        <v/>
      </c>
      <c r="Y57" s="68">
        <f>MAX(M57-U57,0)</f>
        <v/>
      </c>
      <c r="Z57" s="63">
        <f>R57*Assumptions!$B$25</f>
        <v/>
      </c>
      <c r="AA57" s="67">
        <f>Y57+Z57</f>
        <v/>
      </c>
      <c r="AB57" s="68">
        <f>MAX(AB56,AA57)</f>
        <v/>
      </c>
      <c r="AC57" s="67" t="n">
        <v>0</v>
      </c>
      <c r="AD57" s="67">
        <f>AK57+AC57</f>
        <v/>
      </c>
      <c r="AE57" s="102">
        <f>IF(SUM($H$4:H57)&lt;Assumptions!$B$57,0,MAX(MAX(Assumptions!$B$44,AE56),IF(M57*Assumptions!$B$24/(1+Assumptions!$B$24)&gt;MAX(Assumptions!$B$44,AE56)*Assumptions!$B$53,M57*Assumptions!$B$24/(1+Assumptions!$B$24)/Assumptions!$B$54,MAX(Assumptions!$B$44,AE56))))</f>
        <v/>
      </c>
      <c r="AF57" s="102">
        <f>U57-U56</f>
        <v/>
      </c>
      <c r="AG57" s="103">
        <f>IFERROR(U57/AE57,0)</f>
        <v/>
      </c>
      <c r="AH57" s="102">
        <f>MAX(0,AE57-AE56)</f>
        <v/>
      </c>
      <c r="AI57" s="102">
        <f>MAX(AD56-Z57,0)</f>
        <v/>
      </c>
      <c r="AJ57" s="102">
        <f>AI57*Assumptions!$B$46/12</f>
        <v/>
      </c>
      <c r="AK57" s="102">
        <f>AD56+Q57-R57-I57+K57+AF57-V57+AJ57-AP57</f>
        <v/>
      </c>
      <c r="AL57" s="104">
        <f>TRIM(IF(AH57&gt;0,"Increase warehouse facility to $"&amp;TEXT(AE57,"#,##0")&amp;" (from $"&amp;TEXT(AE56,"#,##0")&amp;"). ","")&amp;IF(AC57&gt;0,"Raise ~$"&amp;TEXT(AC57,"#,##0")&amp;" of equity — annual raise, funds the next 12 months.",""))</f>
        <v/>
      </c>
      <c r="AM57" s="102">
        <f>Q57-R57-I57+K57+AF57-V57-AP57</f>
        <v/>
      </c>
      <c r="AN57" s="132">
        <f>SUM($H$4:H57)</f>
        <v/>
      </c>
      <c r="AO57" s="102">
        <f>H57*Assumptions!$B$16</f>
        <v/>
      </c>
      <c r="AP57" s="102">
        <f>MAX(AO57*Assumptions!$B$62,Assumptions!$B$63)+Assumptions!$B$64/12</f>
        <v/>
      </c>
      <c r="AQ57" s="102">
        <f>(O57+P57)*Assumptions!$B$61/(1-Assumptions!$B$61)</f>
        <v/>
      </c>
    </row>
    <row r="58" ht="15" customHeight="1" s="85">
      <c r="A58" s="46" t="n">
        <v>55</v>
      </c>
      <c r="B58" s="32">
        <f>EDATE(Assumptions!$B$4,54)</f>
        <v/>
      </c>
      <c r="C58" s="47">
        <f>INT((A58-1)/12)+1</f>
        <v/>
      </c>
      <c r="D58" s="36">
        <f>IF(C58=1,Assumptions!$B$6,IF(C58=2,Assumptions!$B$7,IF(C58=3,Assumptions!$B$8,IF(C58=4,Assumptions!$B$9,Assumptions!$B$10))))</f>
        <v/>
      </c>
      <c r="E58" s="36">
        <f>ROUND(F57*Assumptions!$B$11,0)</f>
        <v/>
      </c>
      <c r="F58" s="36">
        <f>F57+D58-E58</f>
        <v/>
      </c>
      <c r="G58" s="36">
        <f>ROUND(F58*Assumptions!$B$14*(365/12/7),0)</f>
        <v/>
      </c>
      <c r="H58" s="36">
        <f>ROUND(G58*Assumptions!$B$15,0)</f>
        <v/>
      </c>
      <c r="I58" s="38">
        <f>AO58*(1-Assumptions!$B$61)</f>
        <v/>
      </c>
      <c r="J58" s="38">
        <f>M57</f>
        <v/>
      </c>
      <c r="K58" s="40">
        <f>IFERROR(J58/Assumptions!$B$17,0)</f>
        <v/>
      </c>
      <c r="L58" s="40">
        <f>J58*Assumptions!$B$20/12</f>
        <v/>
      </c>
      <c r="M58" s="41">
        <f>MAX(J58+I58-K58-L58,0)</f>
        <v/>
      </c>
      <c r="N58" s="40">
        <f>(J58+M58)/2</f>
        <v/>
      </c>
      <c r="O58" s="38">
        <f>N58*Assumptions!$B$18/12</f>
        <v/>
      </c>
      <c r="P58" s="38">
        <f>I58*Assumptions!$B$19</f>
        <v/>
      </c>
      <c r="Q58" s="41">
        <f>O58+P58</f>
        <v/>
      </c>
      <c r="R58" s="38">
        <f>Assumptions!$B$33*(1+Assumptions!$B$34)^(C58-1)/12</f>
        <v/>
      </c>
      <c r="S58" s="40">
        <f>L58</f>
        <v/>
      </c>
      <c r="T58" s="40">
        <f>Q58-R58-S58-AP58</f>
        <v/>
      </c>
      <c r="U58" s="40">
        <f>MIN(AE58,M58*Assumptions!$B$24/(1+Assumptions!$B$24))</f>
        <v/>
      </c>
      <c r="V58" s="38">
        <f>((U58+U57)/2)*Assumptions!$B$23/12</f>
        <v/>
      </c>
      <c r="W58" s="41">
        <f>T58-V58+AJ58</f>
        <v/>
      </c>
      <c r="X58" s="40">
        <f>X57+W58</f>
        <v/>
      </c>
      <c r="Y58" s="40">
        <f>MAX(M58-U58,0)</f>
        <v/>
      </c>
      <c r="Z58" s="38">
        <f>R58*Assumptions!$B$25</f>
        <v/>
      </c>
      <c r="AA58" s="41">
        <f>Y58+Z58</f>
        <v/>
      </c>
      <c r="AB58" s="40">
        <f>MAX(AB57,AA58)</f>
        <v/>
      </c>
      <c r="AC58" s="41" t="n">
        <v>0</v>
      </c>
      <c r="AD58" s="41">
        <f>AK58+AC58</f>
        <v/>
      </c>
      <c r="AE58" s="102">
        <f>IF(SUM($H$4:H58)&lt;Assumptions!$B$57,0,MAX(MAX(Assumptions!$B$44,AE57),IF(M58*Assumptions!$B$24/(1+Assumptions!$B$24)&gt;MAX(Assumptions!$B$44,AE57)*Assumptions!$B$53,M58*Assumptions!$B$24/(1+Assumptions!$B$24)/Assumptions!$B$54,MAX(Assumptions!$B$44,AE57))))</f>
        <v/>
      </c>
      <c r="AF58" s="102">
        <f>U58-U57</f>
        <v/>
      </c>
      <c r="AG58" s="103">
        <f>IFERROR(U58/AE58,0)</f>
        <v/>
      </c>
      <c r="AH58" s="102">
        <f>MAX(0,AE58-AE57)</f>
        <v/>
      </c>
      <c r="AI58" s="102">
        <f>MAX(AD57-Z58,0)</f>
        <v/>
      </c>
      <c r="AJ58" s="102">
        <f>AI58*Assumptions!$B$46/12</f>
        <v/>
      </c>
      <c r="AK58" s="102">
        <f>AD57+Q58-R58-I58+K58+AF58-V58+AJ58-AP58</f>
        <v/>
      </c>
      <c r="AL58" s="104">
        <f>TRIM(IF(AH58&gt;0,"Increase warehouse facility to $"&amp;TEXT(AE58,"#,##0")&amp;" (from $"&amp;TEXT(AE57,"#,##0")&amp;"). ","")&amp;IF(AC58&gt;0,"Raise ~$"&amp;TEXT(AC58,"#,##0")&amp;" of equity — annual raise, funds the next 12 months.",""))</f>
        <v/>
      </c>
      <c r="AM58" s="102">
        <f>Q58-R58-I58+K58+AF58-V58-AP58</f>
        <v/>
      </c>
      <c r="AN58" s="132">
        <f>SUM($H$4:H58)</f>
        <v/>
      </c>
      <c r="AO58" s="102">
        <f>H58*Assumptions!$B$16</f>
        <v/>
      </c>
      <c r="AP58" s="102">
        <f>MAX(AO58*Assumptions!$B$62,Assumptions!$B$63)+Assumptions!$B$64/12</f>
        <v/>
      </c>
      <c r="AQ58" s="102">
        <f>(O58+P58)*Assumptions!$B$61/(1-Assumptions!$B$61)</f>
        <v/>
      </c>
    </row>
    <row r="59" ht="15" customHeight="1" s="85">
      <c r="A59" s="58" t="n">
        <v>56</v>
      </c>
      <c r="B59" s="59">
        <f>EDATE(Assumptions!$B$4,55)</f>
        <v/>
      </c>
      <c r="C59" s="66">
        <f>INT((A59-1)/12)+1</f>
        <v/>
      </c>
      <c r="D59" s="62">
        <f>IF(C59=1,Assumptions!$B$6,IF(C59=2,Assumptions!$B$7,IF(C59=3,Assumptions!$B$8,IF(C59=4,Assumptions!$B$9,Assumptions!$B$10))))</f>
        <v/>
      </c>
      <c r="E59" s="62">
        <f>ROUND(F58*Assumptions!$B$11,0)</f>
        <v/>
      </c>
      <c r="F59" s="62">
        <f>F58+D59-E59</f>
        <v/>
      </c>
      <c r="G59" s="62">
        <f>ROUND(F59*Assumptions!$B$14*(365/12/7),0)</f>
        <v/>
      </c>
      <c r="H59" s="62">
        <f>ROUND(G59*Assumptions!$B$15,0)</f>
        <v/>
      </c>
      <c r="I59" s="63">
        <f>AO59*(1-Assumptions!$B$61)</f>
        <v/>
      </c>
      <c r="J59" s="63">
        <f>M58</f>
        <v/>
      </c>
      <c r="K59" s="68">
        <f>IFERROR(J59/Assumptions!$B$17,0)</f>
        <v/>
      </c>
      <c r="L59" s="68">
        <f>J59*Assumptions!$B$20/12</f>
        <v/>
      </c>
      <c r="M59" s="67">
        <f>MAX(J59+I59-K59-L59,0)</f>
        <v/>
      </c>
      <c r="N59" s="68">
        <f>(J59+M59)/2</f>
        <v/>
      </c>
      <c r="O59" s="63">
        <f>N59*Assumptions!$B$18/12</f>
        <v/>
      </c>
      <c r="P59" s="63">
        <f>I59*Assumptions!$B$19</f>
        <v/>
      </c>
      <c r="Q59" s="67">
        <f>O59+P59</f>
        <v/>
      </c>
      <c r="R59" s="63">
        <f>Assumptions!$B$33*(1+Assumptions!$B$34)^(C59-1)/12</f>
        <v/>
      </c>
      <c r="S59" s="68">
        <f>L59</f>
        <v/>
      </c>
      <c r="T59" s="68">
        <f>Q59-R59-S59-AP59</f>
        <v/>
      </c>
      <c r="U59" s="68">
        <f>MIN(AE59,M59*Assumptions!$B$24/(1+Assumptions!$B$24))</f>
        <v/>
      </c>
      <c r="V59" s="63">
        <f>((U59+U58)/2)*Assumptions!$B$23/12</f>
        <v/>
      </c>
      <c r="W59" s="67">
        <f>T59-V59+AJ59</f>
        <v/>
      </c>
      <c r="X59" s="68">
        <f>X58+W59</f>
        <v/>
      </c>
      <c r="Y59" s="68">
        <f>MAX(M59-U59,0)</f>
        <v/>
      </c>
      <c r="Z59" s="63">
        <f>R59*Assumptions!$B$25</f>
        <v/>
      </c>
      <c r="AA59" s="67">
        <f>Y59+Z59</f>
        <v/>
      </c>
      <c r="AB59" s="68">
        <f>MAX(AB58,AA59)</f>
        <v/>
      </c>
      <c r="AC59" s="67" t="n">
        <v>0</v>
      </c>
      <c r="AD59" s="67">
        <f>AK59+AC59</f>
        <v/>
      </c>
      <c r="AE59" s="102">
        <f>IF(SUM($H$4:H59)&lt;Assumptions!$B$57,0,MAX(MAX(Assumptions!$B$44,AE58),IF(M59*Assumptions!$B$24/(1+Assumptions!$B$24)&gt;MAX(Assumptions!$B$44,AE58)*Assumptions!$B$53,M59*Assumptions!$B$24/(1+Assumptions!$B$24)/Assumptions!$B$54,MAX(Assumptions!$B$44,AE58))))</f>
        <v/>
      </c>
      <c r="AF59" s="102">
        <f>U59-U58</f>
        <v/>
      </c>
      <c r="AG59" s="103">
        <f>IFERROR(U59/AE59,0)</f>
        <v/>
      </c>
      <c r="AH59" s="102">
        <f>MAX(0,AE59-AE58)</f>
        <v/>
      </c>
      <c r="AI59" s="102">
        <f>MAX(AD58-Z59,0)</f>
        <v/>
      </c>
      <c r="AJ59" s="102">
        <f>AI59*Assumptions!$B$46/12</f>
        <v/>
      </c>
      <c r="AK59" s="102">
        <f>AD58+Q59-R59-I59+K59+AF59-V59+AJ59-AP59</f>
        <v/>
      </c>
      <c r="AL59" s="104">
        <f>TRIM(IF(AH59&gt;0,"Increase warehouse facility to $"&amp;TEXT(AE59,"#,##0")&amp;" (from $"&amp;TEXT(AE58,"#,##0")&amp;"). ","")&amp;IF(AC59&gt;0,"Raise ~$"&amp;TEXT(AC59,"#,##0")&amp;" of equity — annual raise, funds the next 12 months.",""))</f>
        <v/>
      </c>
      <c r="AM59" s="102">
        <f>Q59-R59-I59+K59+AF59-V59-AP59</f>
        <v/>
      </c>
      <c r="AN59" s="132">
        <f>SUM($H$4:H59)</f>
        <v/>
      </c>
      <c r="AO59" s="102">
        <f>H59*Assumptions!$B$16</f>
        <v/>
      </c>
      <c r="AP59" s="102">
        <f>MAX(AO59*Assumptions!$B$62,Assumptions!$B$63)+Assumptions!$B$64/12</f>
        <v/>
      </c>
      <c r="AQ59" s="102">
        <f>(O59+P59)*Assumptions!$B$61/(1-Assumptions!$B$61)</f>
        <v/>
      </c>
    </row>
    <row r="60" ht="15" customHeight="1" s="85">
      <c r="A60" s="46" t="n">
        <v>57</v>
      </c>
      <c r="B60" s="32">
        <f>EDATE(Assumptions!$B$4,56)</f>
        <v/>
      </c>
      <c r="C60" s="47">
        <f>INT((A60-1)/12)+1</f>
        <v/>
      </c>
      <c r="D60" s="36">
        <f>IF(C60=1,Assumptions!$B$6,IF(C60=2,Assumptions!$B$7,IF(C60=3,Assumptions!$B$8,IF(C60=4,Assumptions!$B$9,Assumptions!$B$10))))</f>
        <v/>
      </c>
      <c r="E60" s="36">
        <f>ROUND(F59*Assumptions!$B$11,0)</f>
        <v/>
      </c>
      <c r="F60" s="36">
        <f>F59+D60-E60</f>
        <v/>
      </c>
      <c r="G60" s="36">
        <f>ROUND(F60*Assumptions!$B$14*(365/12/7),0)</f>
        <v/>
      </c>
      <c r="H60" s="36">
        <f>ROUND(G60*Assumptions!$B$15,0)</f>
        <v/>
      </c>
      <c r="I60" s="38">
        <f>AO60*(1-Assumptions!$B$61)</f>
        <v/>
      </c>
      <c r="J60" s="38">
        <f>M59</f>
        <v/>
      </c>
      <c r="K60" s="40">
        <f>IFERROR(J60/Assumptions!$B$17,0)</f>
        <v/>
      </c>
      <c r="L60" s="40">
        <f>J60*Assumptions!$B$20/12</f>
        <v/>
      </c>
      <c r="M60" s="41">
        <f>MAX(J60+I60-K60-L60,0)</f>
        <v/>
      </c>
      <c r="N60" s="40">
        <f>(J60+M60)/2</f>
        <v/>
      </c>
      <c r="O60" s="38">
        <f>N60*Assumptions!$B$18/12</f>
        <v/>
      </c>
      <c r="P60" s="38">
        <f>I60*Assumptions!$B$19</f>
        <v/>
      </c>
      <c r="Q60" s="41">
        <f>O60+P60</f>
        <v/>
      </c>
      <c r="R60" s="38">
        <f>Assumptions!$B$33*(1+Assumptions!$B$34)^(C60-1)/12</f>
        <v/>
      </c>
      <c r="S60" s="40">
        <f>L60</f>
        <v/>
      </c>
      <c r="T60" s="40">
        <f>Q60-R60-S60-AP60</f>
        <v/>
      </c>
      <c r="U60" s="40">
        <f>MIN(AE60,M60*Assumptions!$B$24/(1+Assumptions!$B$24))</f>
        <v/>
      </c>
      <c r="V60" s="38">
        <f>((U60+U59)/2)*Assumptions!$B$23/12</f>
        <v/>
      </c>
      <c r="W60" s="41">
        <f>T60-V60+AJ60</f>
        <v/>
      </c>
      <c r="X60" s="40">
        <f>X59+W60</f>
        <v/>
      </c>
      <c r="Y60" s="40">
        <f>MAX(M60-U60,0)</f>
        <v/>
      </c>
      <c r="Z60" s="38">
        <f>R60*Assumptions!$B$25</f>
        <v/>
      </c>
      <c r="AA60" s="41">
        <f>Y60+Z60</f>
        <v/>
      </c>
      <c r="AB60" s="40">
        <f>MAX(AB59,AA60)</f>
        <v/>
      </c>
      <c r="AC60" s="41" t="n">
        <v>0</v>
      </c>
      <c r="AD60" s="41">
        <f>AK60+AC60</f>
        <v/>
      </c>
      <c r="AE60" s="102">
        <f>IF(SUM($H$4:H60)&lt;Assumptions!$B$57,0,MAX(MAX(Assumptions!$B$44,AE59),IF(M60*Assumptions!$B$24/(1+Assumptions!$B$24)&gt;MAX(Assumptions!$B$44,AE59)*Assumptions!$B$53,M60*Assumptions!$B$24/(1+Assumptions!$B$24)/Assumptions!$B$54,MAX(Assumptions!$B$44,AE59))))</f>
        <v/>
      </c>
      <c r="AF60" s="102">
        <f>U60-U59</f>
        <v/>
      </c>
      <c r="AG60" s="103">
        <f>IFERROR(U60/AE60,0)</f>
        <v/>
      </c>
      <c r="AH60" s="102">
        <f>MAX(0,AE60-AE59)</f>
        <v/>
      </c>
      <c r="AI60" s="102">
        <f>MAX(AD59-Z60,0)</f>
        <v/>
      </c>
      <c r="AJ60" s="102">
        <f>AI60*Assumptions!$B$46/12</f>
        <v/>
      </c>
      <c r="AK60" s="102">
        <f>AD59+Q60-R60-I60+K60+AF60-V60+AJ60-AP60</f>
        <v/>
      </c>
      <c r="AL60" s="104">
        <f>TRIM(IF(AH60&gt;0,"Increase warehouse facility to $"&amp;TEXT(AE60,"#,##0")&amp;" (from $"&amp;TEXT(AE59,"#,##0")&amp;"). ","")&amp;IF(AC60&gt;0,"Raise ~$"&amp;TEXT(AC60,"#,##0")&amp;" of equity — annual raise, funds the next 12 months.",""))</f>
        <v/>
      </c>
      <c r="AM60" s="102">
        <f>Q60-R60-I60+K60+AF60-V60-AP60</f>
        <v/>
      </c>
      <c r="AN60" s="132">
        <f>SUM($H$4:H60)</f>
        <v/>
      </c>
      <c r="AO60" s="102">
        <f>H60*Assumptions!$B$16</f>
        <v/>
      </c>
      <c r="AP60" s="102">
        <f>MAX(AO60*Assumptions!$B$62,Assumptions!$B$63)+Assumptions!$B$64/12</f>
        <v/>
      </c>
      <c r="AQ60" s="102">
        <f>(O60+P60)*Assumptions!$B$61/(1-Assumptions!$B$61)</f>
        <v/>
      </c>
    </row>
    <row r="61" ht="15" customHeight="1" s="85">
      <c r="A61" s="58" t="n">
        <v>58</v>
      </c>
      <c r="B61" s="59">
        <f>EDATE(Assumptions!$B$4,57)</f>
        <v/>
      </c>
      <c r="C61" s="66">
        <f>INT((A61-1)/12)+1</f>
        <v/>
      </c>
      <c r="D61" s="62">
        <f>IF(C61=1,Assumptions!$B$6,IF(C61=2,Assumptions!$B$7,IF(C61=3,Assumptions!$B$8,IF(C61=4,Assumptions!$B$9,Assumptions!$B$10))))</f>
        <v/>
      </c>
      <c r="E61" s="62">
        <f>ROUND(F60*Assumptions!$B$11,0)</f>
        <v/>
      </c>
      <c r="F61" s="62">
        <f>F60+D61-E61</f>
        <v/>
      </c>
      <c r="G61" s="62">
        <f>ROUND(F61*Assumptions!$B$14*(365/12/7),0)</f>
        <v/>
      </c>
      <c r="H61" s="62">
        <f>ROUND(G61*Assumptions!$B$15,0)</f>
        <v/>
      </c>
      <c r="I61" s="63">
        <f>AO61*(1-Assumptions!$B$61)</f>
        <v/>
      </c>
      <c r="J61" s="63">
        <f>M60</f>
        <v/>
      </c>
      <c r="K61" s="68">
        <f>IFERROR(J61/Assumptions!$B$17,0)</f>
        <v/>
      </c>
      <c r="L61" s="68">
        <f>J61*Assumptions!$B$20/12</f>
        <v/>
      </c>
      <c r="M61" s="67">
        <f>MAX(J61+I61-K61-L61,0)</f>
        <v/>
      </c>
      <c r="N61" s="68">
        <f>(J61+M61)/2</f>
        <v/>
      </c>
      <c r="O61" s="63">
        <f>N61*Assumptions!$B$18/12</f>
        <v/>
      </c>
      <c r="P61" s="63">
        <f>I61*Assumptions!$B$19</f>
        <v/>
      </c>
      <c r="Q61" s="67">
        <f>O61+P61</f>
        <v/>
      </c>
      <c r="R61" s="63">
        <f>Assumptions!$B$33*(1+Assumptions!$B$34)^(C61-1)/12</f>
        <v/>
      </c>
      <c r="S61" s="68">
        <f>L61</f>
        <v/>
      </c>
      <c r="T61" s="68">
        <f>Q61-R61-S61-AP61</f>
        <v/>
      </c>
      <c r="U61" s="68">
        <f>MIN(AE61,M61*Assumptions!$B$24/(1+Assumptions!$B$24))</f>
        <v/>
      </c>
      <c r="V61" s="63">
        <f>((U61+U60)/2)*Assumptions!$B$23/12</f>
        <v/>
      </c>
      <c r="W61" s="67">
        <f>T61-V61+AJ61</f>
        <v/>
      </c>
      <c r="X61" s="68">
        <f>X60+W61</f>
        <v/>
      </c>
      <c r="Y61" s="68">
        <f>MAX(M61-U61,0)</f>
        <v/>
      </c>
      <c r="Z61" s="63">
        <f>R61*Assumptions!$B$25</f>
        <v/>
      </c>
      <c r="AA61" s="67">
        <f>Y61+Z61</f>
        <v/>
      </c>
      <c r="AB61" s="68">
        <f>MAX(AB60,AA61)</f>
        <v/>
      </c>
      <c r="AC61" s="67" t="n">
        <v>0</v>
      </c>
      <c r="AD61" s="67">
        <f>AK61+AC61</f>
        <v/>
      </c>
      <c r="AE61" s="102">
        <f>IF(SUM($H$4:H61)&lt;Assumptions!$B$57,0,MAX(MAX(Assumptions!$B$44,AE60),IF(M61*Assumptions!$B$24/(1+Assumptions!$B$24)&gt;MAX(Assumptions!$B$44,AE60)*Assumptions!$B$53,M61*Assumptions!$B$24/(1+Assumptions!$B$24)/Assumptions!$B$54,MAX(Assumptions!$B$44,AE60))))</f>
        <v/>
      </c>
      <c r="AF61" s="102">
        <f>U61-U60</f>
        <v/>
      </c>
      <c r="AG61" s="103">
        <f>IFERROR(U61/AE61,0)</f>
        <v/>
      </c>
      <c r="AH61" s="102">
        <f>MAX(0,AE61-AE60)</f>
        <v/>
      </c>
      <c r="AI61" s="102">
        <f>MAX(AD60-Z61,0)</f>
        <v/>
      </c>
      <c r="AJ61" s="102">
        <f>AI61*Assumptions!$B$46/12</f>
        <v/>
      </c>
      <c r="AK61" s="102">
        <f>AD60+Q61-R61-I61+K61+AF61-V61+AJ61-AP61</f>
        <v/>
      </c>
      <c r="AL61" s="104">
        <f>TRIM(IF(AH61&gt;0,"Increase warehouse facility to $"&amp;TEXT(AE61,"#,##0")&amp;" (from $"&amp;TEXT(AE60,"#,##0")&amp;"). ","")&amp;IF(AC61&gt;0,"Raise ~$"&amp;TEXT(AC61,"#,##0")&amp;" of equity — annual raise, funds the next 12 months.",""))</f>
        <v/>
      </c>
      <c r="AM61" s="102">
        <f>Q61-R61-I61+K61+AF61-V61-AP61</f>
        <v/>
      </c>
      <c r="AN61" s="132">
        <f>SUM($H$4:H61)</f>
        <v/>
      </c>
      <c r="AO61" s="102">
        <f>H61*Assumptions!$B$16</f>
        <v/>
      </c>
      <c r="AP61" s="102">
        <f>MAX(AO61*Assumptions!$B$62,Assumptions!$B$63)+Assumptions!$B$64/12</f>
        <v/>
      </c>
      <c r="AQ61" s="102">
        <f>(O61+P61)*Assumptions!$B$61/(1-Assumptions!$B$61)</f>
        <v/>
      </c>
    </row>
    <row r="62" ht="15" customHeight="1" s="85">
      <c r="A62" s="46" t="n">
        <v>59</v>
      </c>
      <c r="B62" s="32">
        <f>EDATE(Assumptions!$B$4,58)</f>
        <v/>
      </c>
      <c r="C62" s="47">
        <f>INT((A62-1)/12)+1</f>
        <v/>
      </c>
      <c r="D62" s="36">
        <f>IF(C62=1,Assumptions!$B$6,IF(C62=2,Assumptions!$B$7,IF(C62=3,Assumptions!$B$8,IF(C62=4,Assumptions!$B$9,Assumptions!$B$10))))</f>
        <v/>
      </c>
      <c r="E62" s="36">
        <f>ROUND(F61*Assumptions!$B$11,0)</f>
        <v/>
      </c>
      <c r="F62" s="36">
        <f>F61+D62-E62</f>
        <v/>
      </c>
      <c r="G62" s="36">
        <f>ROUND(F62*Assumptions!$B$14*(365/12/7),0)</f>
        <v/>
      </c>
      <c r="H62" s="36">
        <f>ROUND(G62*Assumptions!$B$15,0)</f>
        <v/>
      </c>
      <c r="I62" s="38">
        <f>AO62*(1-Assumptions!$B$61)</f>
        <v/>
      </c>
      <c r="J62" s="38">
        <f>M61</f>
        <v/>
      </c>
      <c r="K62" s="40">
        <f>IFERROR(J62/Assumptions!$B$17,0)</f>
        <v/>
      </c>
      <c r="L62" s="40">
        <f>J62*Assumptions!$B$20/12</f>
        <v/>
      </c>
      <c r="M62" s="41">
        <f>MAX(J62+I62-K62-L62,0)</f>
        <v/>
      </c>
      <c r="N62" s="40">
        <f>(J62+M62)/2</f>
        <v/>
      </c>
      <c r="O62" s="38">
        <f>N62*Assumptions!$B$18/12</f>
        <v/>
      </c>
      <c r="P62" s="38">
        <f>I62*Assumptions!$B$19</f>
        <v/>
      </c>
      <c r="Q62" s="41">
        <f>O62+P62</f>
        <v/>
      </c>
      <c r="R62" s="38">
        <f>Assumptions!$B$33*(1+Assumptions!$B$34)^(C62-1)/12</f>
        <v/>
      </c>
      <c r="S62" s="40">
        <f>L62</f>
        <v/>
      </c>
      <c r="T62" s="40">
        <f>Q62-R62-S62-AP62</f>
        <v/>
      </c>
      <c r="U62" s="40">
        <f>MIN(AE62,M62*Assumptions!$B$24/(1+Assumptions!$B$24))</f>
        <v/>
      </c>
      <c r="V62" s="38">
        <f>((U62+U61)/2)*Assumptions!$B$23/12</f>
        <v/>
      </c>
      <c r="W62" s="41">
        <f>T62-V62+AJ62</f>
        <v/>
      </c>
      <c r="X62" s="40">
        <f>X61+W62</f>
        <v/>
      </c>
      <c r="Y62" s="40">
        <f>MAX(M62-U62,0)</f>
        <v/>
      </c>
      <c r="Z62" s="38">
        <f>R62*Assumptions!$B$25</f>
        <v/>
      </c>
      <c r="AA62" s="41">
        <f>Y62+Z62</f>
        <v/>
      </c>
      <c r="AB62" s="40">
        <f>MAX(AB61,AA62)</f>
        <v/>
      </c>
      <c r="AC62" s="41" t="n">
        <v>0</v>
      </c>
      <c r="AD62" s="41">
        <f>AK62+AC62</f>
        <v/>
      </c>
      <c r="AE62" s="102">
        <f>IF(SUM($H$4:H62)&lt;Assumptions!$B$57,0,MAX(MAX(Assumptions!$B$44,AE61),IF(M62*Assumptions!$B$24/(1+Assumptions!$B$24)&gt;MAX(Assumptions!$B$44,AE61)*Assumptions!$B$53,M62*Assumptions!$B$24/(1+Assumptions!$B$24)/Assumptions!$B$54,MAX(Assumptions!$B$44,AE61))))</f>
        <v/>
      </c>
      <c r="AF62" s="102">
        <f>U62-U61</f>
        <v/>
      </c>
      <c r="AG62" s="103">
        <f>IFERROR(U62/AE62,0)</f>
        <v/>
      </c>
      <c r="AH62" s="102">
        <f>MAX(0,AE62-AE61)</f>
        <v/>
      </c>
      <c r="AI62" s="102">
        <f>MAX(AD61-Z62,0)</f>
        <v/>
      </c>
      <c r="AJ62" s="102">
        <f>AI62*Assumptions!$B$46/12</f>
        <v/>
      </c>
      <c r="AK62" s="102">
        <f>AD61+Q62-R62-I62+K62+AF62-V62+AJ62-AP62</f>
        <v/>
      </c>
      <c r="AL62" s="104">
        <f>TRIM(IF(AH62&gt;0,"Increase warehouse facility to $"&amp;TEXT(AE62,"#,##0")&amp;" (from $"&amp;TEXT(AE61,"#,##0")&amp;"). ","")&amp;IF(AC62&gt;0,"Raise ~$"&amp;TEXT(AC62,"#,##0")&amp;" of equity — annual raise, funds the next 12 months.",""))</f>
        <v/>
      </c>
      <c r="AM62" s="102">
        <f>Q62-R62-I62+K62+AF62-V62-AP62</f>
        <v/>
      </c>
      <c r="AN62" s="132">
        <f>SUM($H$4:H62)</f>
        <v/>
      </c>
      <c r="AO62" s="102">
        <f>H62*Assumptions!$B$16</f>
        <v/>
      </c>
      <c r="AP62" s="102">
        <f>MAX(AO62*Assumptions!$B$62,Assumptions!$B$63)+Assumptions!$B$64/12</f>
        <v/>
      </c>
      <c r="AQ62" s="102">
        <f>(O62+P62)*Assumptions!$B$61/(1-Assumptions!$B$61)</f>
        <v/>
      </c>
    </row>
    <row r="63" ht="15" customHeight="1" s="85">
      <c r="A63" s="58" t="n">
        <v>60</v>
      </c>
      <c r="B63" s="59">
        <f>EDATE(Assumptions!$B$4,59)</f>
        <v/>
      </c>
      <c r="C63" s="66">
        <f>INT((A63-1)/12)+1</f>
        <v/>
      </c>
      <c r="D63" s="62">
        <f>IF(C63=1,Assumptions!$B$6,IF(C63=2,Assumptions!$B$7,IF(C63=3,Assumptions!$B$8,IF(C63=4,Assumptions!$B$9,Assumptions!$B$10))))</f>
        <v/>
      </c>
      <c r="E63" s="62">
        <f>ROUND(F62*Assumptions!$B$11,0)</f>
        <v/>
      </c>
      <c r="F63" s="62">
        <f>F62+D63-E63</f>
        <v/>
      </c>
      <c r="G63" s="62">
        <f>ROUND(F63*Assumptions!$B$14*(365/12/7),0)</f>
        <v/>
      </c>
      <c r="H63" s="62">
        <f>ROUND(G63*Assumptions!$B$15,0)</f>
        <v/>
      </c>
      <c r="I63" s="63">
        <f>AO63*(1-Assumptions!$B$61)</f>
        <v/>
      </c>
      <c r="J63" s="63">
        <f>M62</f>
        <v/>
      </c>
      <c r="K63" s="68">
        <f>IFERROR(J63/Assumptions!$B$17,0)</f>
        <v/>
      </c>
      <c r="L63" s="68">
        <f>J63*Assumptions!$B$20/12</f>
        <v/>
      </c>
      <c r="M63" s="67">
        <f>MAX(J63+I63-K63-L63,0)</f>
        <v/>
      </c>
      <c r="N63" s="68">
        <f>(J63+M63)/2</f>
        <v/>
      </c>
      <c r="O63" s="63">
        <f>N63*Assumptions!$B$18/12</f>
        <v/>
      </c>
      <c r="P63" s="63">
        <f>I63*Assumptions!$B$19</f>
        <v/>
      </c>
      <c r="Q63" s="67">
        <f>O63+P63</f>
        <v/>
      </c>
      <c r="R63" s="63">
        <f>Assumptions!$B$33*(1+Assumptions!$B$34)^(C63-1)/12</f>
        <v/>
      </c>
      <c r="S63" s="68">
        <f>L63</f>
        <v/>
      </c>
      <c r="T63" s="68">
        <f>Q63-R63-S63-AP63</f>
        <v/>
      </c>
      <c r="U63" s="68">
        <f>MIN(AE63,M63*Assumptions!$B$24/(1+Assumptions!$B$24))</f>
        <v/>
      </c>
      <c r="V63" s="63">
        <f>((U63+U62)/2)*Assumptions!$B$23/12</f>
        <v/>
      </c>
      <c r="W63" s="67">
        <f>T63-V63+AJ63</f>
        <v/>
      </c>
      <c r="X63" s="68">
        <f>X62+W63</f>
        <v/>
      </c>
      <c r="Y63" s="68">
        <f>MAX(M63-U63,0)</f>
        <v/>
      </c>
      <c r="Z63" s="63">
        <f>R63*Assumptions!$B$25</f>
        <v/>
      </c>
      <c r="AA63" s="67">
        <f>Y63+Z63</f>
        <v/>
      </c>
      <c r="AB63" s="68">
        <f>MAX(AB62,AA63)</f>
        <v/>
      </c>
      <c r="AC63" s="67" t="n">
        <v>0</v>
      </c>
      <c r="AD63" s="67">
        <f>AK63+AC63</f>
        <v/>
      </c>
      <c r="AE63" s="102">
        <f>IF(SUM($H$4:H63)&lt;Assumptions!$B$57,0,MAX(MAX(Assumptions!$B$44,AE62),IF(M63*Assumptions!$B$24/(1+Assumptions!$B$24)&gt;MAX(Assumptions!$B$44,AE62)*Assumptions!$B$53,M63*Assumptions!$B$24/(1+Assumptions!$B$24)/Assumptions!$B$54,MAX(Assumptions!$B$44,AE62))))</f>
        <v/>
      </c>
      <c r="AF63" s="102">
        <f>U63-U62</f>
        <v/>
      </c>
      <c r="AG63" s="103">
        <f>IFERROR(U63/AE63,0)</f>
        <v/>
      </c>
      <c r="AH63" s="102">
        <f>MAX(0,AE63-AE62)</f>
        <v/>
      </c>
      <c r="AI63" s="102">
        <f>MAX(AD62-Z63,0)</f>
        <v/>
      </c>
      <c r="AJ63" s="102">
        <f>AI63*Assumptions!$B$46/12</f>
        <v/>
      </c>
      <c r="AK63" s="102">
        <f>AD62+Q63-R63-I63+K63+AF63-V63+AJ63-AP63</f>
        <v/>
      </c>
      <c r="AL63" s="104">
        <f>TRIM(IF(AH63&gt;0,"Increase warehouse facility to $"&amp;TEXT(AE63,"#,##0")&amp;" (from $"&amp;TEXT(AE62,"#,##0")&amp;"). ","")&amp;IF(AC63&gt;0,"Raise ~$"&amp;TEXT(AC63,"#,##0")&amp;" of equity — annual raise, funds the next 12 months.",""))</f>
        <v/>
      </c>
      <c r="AM63" s="102">
        <f>Q63-R63-I63+K63+AF63-V63-AP63</f>
        <v/>
      </c>
      <c r="AN63" s="132">
        <f>SUM($H$4:H63)</f>
        <v/>
      </c>
      <c r="AO63" s="102">
        <f>H63*Assumptions!$B$16</f>
        <v/>
      </c>
      <c r="AP63" s="102">
        <f>MAX(AO63*Assumptions!$B$62,Assumptions!$B$63)+Assumptions!$B$64/12</f>
        <v/>
      </c>
      <c r="AQ63" s="102">
        <f>(O63+P63)*Assumptions!$B$61/(1-Assumptions!$B$61)</f>
        <v/>
      </c>
    </row>
    <row r="64" ht="15.75" customHeight="1" s="8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row>
    <row r="65" ht="15.75" customHeight="1" s="8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row>
    <row r="66" ht="15.75" customHeight="1" s="8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row>
    <row r="67" ht="15.75" customHeight="1" s="8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row>
    <row r="68" ht="15.75" customHeight="1" s="8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row>
    <row r="69" ht="15.75" customHeight="1" s="8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row>
    <row r="70" ht="15.75" customHeight="1" s="8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row>
    <row r="71" ht="15.75" customHeight="1" s="8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row>
    <row r="72" ht="15.75" customHeight="1" s="8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row>
    <row r="73" ht="15.75" customHeight="1" s="8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row>
    <row r="74" ht="15.75" customHeight="1" s="8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row>
    <row r="75" ht="15.75" customHeight="1" s="8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row>
    <row r="76" ht="15.75" customHeight="1" s="8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row>
    <row r="77" ht="15.75" customHeight="1" s="8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row>
    <row r="78" ht="15.75" customHeight="1" s="8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row>
    <row r="79" ht="15.75" customHeight="1" s="8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row>
    <row r="80" ht="15.75" customHeight="1" s="8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row>
    <row r="81" ht="15.75" customHeight="1" s="8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row>
    <row r="82" ht="15.75" customHeight="1" s="8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row>
    <row r="83" ht="15.75" customHeight="1" s="8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row>
    <row r="84" ht="15.75" customHeight="1" s="8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row>
    <row r="85" ht="15.75" customHeight="1" s="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row>
    <row r="86" ht="15.75" customHeight="1" s="8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row>
    <row r="87" ht="15.75" customHeight="1" s="8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row>
    <row r="88" ht="15.75" customHeight="1" s="8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row>
    <row r="89" ht="15.75" customHeight="1" s="8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row>
    <row r="90" ht="15.75" customHeight="1" s="8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row>
    <row r="91" ht="15.75" customHeight="1" s="8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row>
    <row r="92" ht="15.75" customHeight="1" s="8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row>
    <row r="93" ht="15.75" customHeight="1" s="8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row>
    <row r="94" ht="15.75" customHeight="1" s="8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row>
    <row r="95" ht="15.75" customHeight="1" s="8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row>
    <row r="96" ht="15.75" customHeight="1" s="8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row>
    <row r="97" ht="15.75" customHeight="1" s="8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row>
    <row r="98" ht="15.75" customHeight="1" s="8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row>
    <row r="99" ht="15.75" customHeight="1" s="8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row>
    <row r="100" ht="15.75" customHeight="1" s="8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row>
    <row r="101" ht="15.75" customHeight="1" s="8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row>
    <row r="102" ht="15.75" customHeight="1" s="8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c r="AD102" s="4" t="n"/>
    </row>
    <row r="103" ht="15.75" customHeight="1" s="8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row>
    <row r="104" ht="15.75" customHeight="1" s="8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c r="AC104" s="4" t="n"/>
      <c r="AD104" s="4" t="n"/>
    </row>
    <row r="105" ht="15.75" customHeight="1" s="8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row>
    <row r="106" ht="15.75" customHeight="1" s="8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row>
    <row r="107" ht="15.75" customHeight="1" s="8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c r="AC107" s="4" t="n"/>
      <c r="AD107" s="4" t="n"/>
    </row>
    <row r="108" ht="15.75" customHeight="1" s="8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row>
    <row r="109" ht="15.75" customHeight="1" s="8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row>
    <row r="110" ht="15.75" customHeight="1" s="8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c r="AC110" s="4" t="n"/>
      <c r="AD110" s="4" t="n"/>
    </row>
    <row r="111" ht="15.75" customHeight="1" s="8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c r="AC111" s="4" t="n"/>
      <c r="AD111" s="4" t="n"/>
    </row>
    <row r="112" ht="15.75" customHeight="1" s="8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c r="AC112" s="4" t="n"/>
      <c r="AD112" s="4" t="n"/>
    </row>
    <row r="113" ht="15.75" customHeight="1" s="8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c r="AC113" s="4" t="n"/>
      <c r="AD113" s="4" t="n"/>
    </row>
    <row r="114" ht="15.75" customHeight="1" s="8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c r="AC114" s="4" t="n"/>
      <c r="AD114" s="4" t="n"/>
    </row>
    <row r="115" ht="15.75" customHeight="1" s="8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c r="AC115" s="4" t="n"/>
      <c r="AD115" s="4" t="n"/>
    </row>
    <row r="116" ht="15.75" customHeight="1" s="8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c r="AC116" s="4" t="n"/>
      <c r="AD116" s="4" t="n"/>
    </row>
    <row r="117" ht="15.75" customHeight="1" s="8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c r="AC117" s="4" t="n"/>
      <c r="AD117" s="4" t="n"/>
    </row>
    <row r="118" ht="15.75" customHeight="1" s="8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c r="AC118" s="4" t="n"/>
      <c r="AD118" s="4" t="n"/>
    </row>
    <row r="119" ht="15.75" customHeight="1" s="8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c r="AC119" s="4" t="n"/>
      <c r="AD119" s="4" t="n"/>
    </row>
    <row r="120" ht="15.75" customHeight="1" s="8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c r="AC120" s="4" t="n"/>
      <c r="AD120" s="4" t="n"/>
    </row>
    <row r="121" ht="15.75" customHeight="1" s="8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c r="AC121" s="4" t="n"/>
      <c r="AD121" s="4" t="n"/>
    </row>
    <row r="122" ht="15.75" customHeight="1" s="8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c r="AC122" s="4" t="n"/>
      <c r="AD122" s="4" t="n"/>
    </row>
    <row r="123" ht="15.75" customHeight="1" s="8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c r="AC123" s="4" t="n"/>
      <c r="AD123" s="4" t="n"/>
    </row>
    <row r="124" ht="15.75" customHeight="1" s="8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c r="AC124" s="4" t="n"/>
      <c r="AD124" s="4" t="n"/>
    </row>
    <row r="125" ht="15.75" customHeight="1" s="8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c r="AC125" s="4" t="n"/>
      <c r="AD125" s="4" t="n"/>
    </row>
    <row r="126" ht="15.75" customHeight="1" s="8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c r="AC126" s="4" t="n"/>
      <c r="AD126" s="4" t="n"/>
    </row>
    <row r="127" ht="15.75" customHeight="1" s="8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c r="AD127" s="4" t="n"/>
    </row>
    <row r="128" ht="15.75" customHeight="1" s="8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c r="AC128" s="4" t="n"/>
      <c r="AD128" s="4" t="n"/>
    </row>
    <row r="129" ht="15.75" customHeight="1" s="8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row>
    <row r="130" ht="15.75" customHeight="1" s="8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c r="AC130" s="4" t="n"/>
      <c r="AD130" s="4" t="n"/>
    </row>
    <row r="131" ht="15.75" customHeight="1" s="8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c r="AC131" s="4" t="n"/>
      <c r="AD131" s="4" t="n"/>
    </row>
    <row r="132" ht="15.75" customHeight="1" s="8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c r="AC132" s="4" t="n"/>
      <c r="AD132" s="4" t="n"/>
    </row>
    <row r="133" ht="15.75" customHeight="1" s="8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c r="AC133" s="4" t="n"/>
      <c r="AD133" s="4" t="n"/>
    </row>
    <row r="134" ht="15.75" customHeight="1" s="8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c r="AC134" s="4" t="n"/>
      <c r="AD134" s="4" t="n"/>
    </row>
    <row r="135" ht="15.75" customHeight="1" s="8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c r="AD135" s="4" t="n"/>
    </row>
    <row r="136" ht="15.75" customHeight="1" s="8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c r="AC136" s="4" t="n"/>
      <c r="AD136" s="4" t="n"/>
    </row>
    <row r="137" ht="15.75" customHeight="1" s="8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c r="AC137" s="4" t="n"/>
      <c r="AD137" s="4" t="n"/>
    </row>
    <row r="138" ht="15.75" customHeight="1" s="8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c r="AC138" s="4" t="n"/>
      <c r="AD138" s="4" t="n"/>
    </row>
    <row r="139" ht="15.75" customHeight="1" s="8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c r="AC139" s="4" t="n"/>
      <c r="AD139" s="4" t="n"/>
    </row>
    <row r="140" ht="15.75" customHeight="1" s="8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row>
    <row r="141" ht="15.75" customHeight="1" s="8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c r="AC141" s="4" t="n"/>
      <c r="AD141" s="4" t="n"/>
    </row>
    <row r="142" ht="15.75" customHeight="1" s="8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c r="AC142" s="4" t="n"/>
      <c r="AD142" s="4" t="n"/>
    </row>
    <row r="143" ht="15.75" customHeight="1" s="8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c r="AC143" s="4" t="n"/>
      <c r="AD143" s="4" t="n"/>
    </row>
    <row r="144" ht="15.75" customHeight="1" s="8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c r="AC144" s="4" t="n"/>
      <c r="AD144" s="4" t="n"/>
    </row>
    <row r="145" ht="15.75" customHeight="1" s="8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c r="AC145" s="4" t="n"/>
      <c r="AD145" s="4" t="n"/>
    </row>
    <row r="146" ht="15.75" customHeight="1" s="8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c r="AC146" s="4" t="n"/>
      <c r="AD146" s="4" t="n"/>
    </row>
    <row r="147" ht="15.75" customHeight="1" s="8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c r="AC147" s="4" t="n"/>
      <c r="AD147" s="4" t="n"/>
    </row>
    <row r="148" ht="15.75" customHeight="1" s="8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c r="AC148" s="4" t="n"/>
      <c r="AD148" s="4" t="n"/>
    </row>
    <row r="149" ht="15.75" customHeight="1" s="8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row>
    <row r="150" ht="15.75" customHeight="1" s="8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row>
    <row r="151" ht="15.75" customHeight="1" s="8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row>
    <row r="152" ht="15.75" customHeight="1" s="8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row>
    <row r="153" ht="15.75" customHeight="1" s="8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c r="AD153" s="4" t="n"/>
    </row>
    <row r="154" ht="15.75" customHeight="1" s="8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c r="AC154" s="4" t="n"/>
      <c r="AD154" s="4" t="n"/>
    </row>
    <row r="155" ht="15.75" customHeight="1" s="8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c r="AD155" s="4" t="n"/>
    </row>
    <row r="156" ht="15.75" customHeight="1" s="8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c r="AD156" s="4" t="n"/>
    </row>
    <row r="157" ht="15.75" customHeight="1" s="8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c r="AC157" s="4" t="n"/>
      <c r="AD157" s="4" t="n"/>
    </row>
    <row r="158" ht="15.75" customHeight="1" s="8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c r="AD158" s="4" t="n"/>
    </row>
    <row r="159" ht="15.75" customHeight="1" s="8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c r="AC159" s="4" t="n"/>
      <c r="AD159" s="4" t="n"/>
    </row>
    <row r="160" ht="15.75" customHeight="1" s="8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c r="AD160" s="4" t="n"/>
    </row>
    <row r="161" ht="15.75" customHeight="1" s="8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c r="AC161" s="4" t="n"/>
      <c r="AD161" s="4" t="n"/>
    </row>
    <row r="162" ht="15.75" customHeight="1" s="8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row>
    <row r="163" ht="15.75" customHeight="1" s="8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c r="AC163" s="4" t="n"/>
      <c r="AD163" s="4" t="n"/>
    </row>
    <row r="164" ht="15.75" customHeight="1" s="8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c r="AC164" s="4" t="n"/>
      <c r="AD164" s="4" t="n"/>
    </row>
    <row r="165" ht="15.75" customHeight="1" s="8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c r="AC165" s="4" t="n"/>
      <c r="AD165" s="4" t="n"/>
    </row>
    <row r="166" ht="15.75" customHeight="1" s="8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c r="AC166" s="4" t="n"/>
      <c r="AD166" s="4" t="n"/>
    </row>
    <row r="167" ht="15.75" customHeight="1" s="8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row>
    <row r="168" ht="15.75" customHeight="1" s="8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c r="AC168" s="4" t="n"/>
      <c r="AD168" s="4" t="n"/>
    </row>
    <row r="169" ht="15.75" customHeight="1" s="8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c r="AC169" s="4" t="n"/>
      <c r="AD169" s="4" t="n"/>
    </row>
    <row r="170" ht="15.75" customHeight="1" s="8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c r="AC170" s="4" t="n"/>
      <c r="AD170" s="4" t="n"/>
    </row>
    <row r="171" ht="15.75" customHeight="1" s="8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c r="AC171" s="4" t="n"/>
      <c r="AD171" s="4" t="n"/>
    </row>
    <row r="172" ht="15.75" customHeight="1" s="8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c r="AD172" s="4" t="n"/>
    </row>
    <row r="173" ht="15.75" customHeight="1" s="8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c r="AC173" s="4" t="n"/>
      <c r="AD173" s="4" t="n"/>
    </row>
    <row r="174" ht="15.75" customHeight="1" s="8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c r="AC174" s="4" t="n"/>
      <c r="AD174" s="4" t="n"/>
    </row>
    <row r="175" ht="15.75" customHeight="1" s="8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c r="AC175" s="4" t="n"/>
      <c r="AD175" s="4" t="n"/>
    </row>
    <row r="176" ht="15.75" customHeight="1" s="8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c r="AC176" s="4" t="n"/>
      <c r="AD176" s="4" t="n"/>
    </row>
    <row r="177" ht="15.75" customHeight="1" s="8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c r="AC177" s="4" t="n"/>
      <c r="AD177" s="4" t="n"/>
    </row>
    <row r="178" ht="15.75" customHeight="1" s="8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c r="AC178" s="4" t="n"/>
      <c r="AD178" s="4" t="n"/>
    </row>
    <row r="179" ht="15.75" customHeight="1" s="8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c r="AD179" s="4" t="n"/>
    </row>
    <row r="180" ht="15.75" customHeight="1" s="8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c r="AC180" s="4" t="n"/>
      <c r="AD180" s="4" t="n"/>
    </row>
    <row r="181" ht="15.75" customHeight="1" s="8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c r="AC181" s="4" t="n"/>
      <c r="AD181" s="4" t="n"/>
    </row>
    <row r="182" ht="15.75" customHeight="1" s="8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c r="AC182" s="4" t="n"/>
      <c r="AD182" s="4" t="n"/>
    </row>
    <row r="183" ht="15.75" customHeight="1" s="8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c r="AD183" s="4" t="n"/>
    </row>
    <row r="184" ht="15.75" customHeight="1" s="8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c r="AC184" s="4" t="n"/>
      <c r="AD184" s="4" t="n"/>
    </row>
    <row r="185" ht="15.75" customHeight="1" s="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c r="AD185" s="4" t="n"/>
    </row>
    <row r="186" ht="15.75" customHeight="1" s="8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c r="AC186" s="4" t="n"/>
      <c r="AD186" s="4" t="n"/>
    </row>
    <row r="187" ht="15.75" customHeight="1" s="8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c r="AC187" s="4" t="n"/>
      <c r="AD187" s="4" t="n"/>
    </row>
    <row r="188" ht="15.75" customHeight="1" s="8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c r="AC188" s="4" t="n"/>
      <c r="AD188" s="4" t="n"/>
    </row>
    <row r="189" ht="15.75" customHeight="1" s="8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c r="AC189" s="4" t="n"/>
      <c r="AD189" s="4" t="n"/>
    </row>
    <row r="190" ht="15.75" customHeight="1" s="8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c r="AC190" s="4" t="n"/>
      <c r="AD190" s="4" t="n"/>
    </row>
    <row r="191" ht="15.75" customHeight="1" s="8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c r="AC191" s="4" t="n"/>
      <c r="AD191" s="4" t="n"/>
    </row>
    <row r="192" ht="15.75" customHeight="1" s="8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c r="AC192" s="4" t="n"/>
      <c r="AD192" s="4" t="n"/>
    </row>
    <row r="193" ht="15.75" customHeight="1" s="8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c r="AC193" s="4" t="n"/>
      <c r="AD193" s="4" t="n"/>
    </row>
    <row r="194" ht="15.75" customHeight="1" s="8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c r="AC194" s="4" t="n"/>
      <c r="AD194" s="4" t="n"/>
    </row>
    <row r="195" ht="15.75" customHeight="1" s="8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c r="AD195" s="4" t="n"/>
    </row>
    <row r="196" ht="15.75" customHeight="1" s="8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row>
    <row r="197" ht="15.75" customHeight="1" s="8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row>
    <row r="198" ht="15.75" customHeight="1" s="8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c r="AD198" s="4" t="n"/>
    </row>
    <row r="199" ht="15.75" customHeight="1" s="8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c r="AC199" s="4" t="n"/>
      <c r="AD199" s="4" t="n"/>
    </row>
    <row r="200" ht="15.75" customHeight="1" s="8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c r="AD200" s="4" t="n"/>
    </row>
    <row r="201" ht="15.75" customHeight="1" s="8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c r="AD201" s="4" t="n"/>
    </row>
    <row r="202" ht="15.75" customHeight="1" s="8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c r="AD202" s="4" t="n"/>
    </row>
    <row r="203" ht="15.75" customHeight="1" s="8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c r="AC203" s="4" t="n"/>
      <c r="AD203" s="4" t="n"/>
    </row>
    <row r="204" ht="15.75" customHeight="1" s="8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c r="AC204" s="4" t="n"/>
      <c r="AD204" s="4" t="n"/>
    </row>
    <row r="205" ht="15.75" customHeight="1" s="8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c r="AC205" s="4" t="n"/>
      <c r="AD205" s="4" t="n"/>
    </row>
    <row r="206" ht="15.75" customHeight="1" s="8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c r="AC206" s="4" t="n"/>
      <c r="AD206" s="4" t="n"/>
    </row>
    <row r="207" ht="15.75" customHeight="1" s="8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c r="AC207" s="4" t="n"/>
      <c r="AD207" s="4" t="n"/>
    </row>
    <row r="208" ht="15.75" customHeight="1" s="8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c r="AC208" s="4" t="n"/>
      <c r="AD208" s="4" t="n"/>
    </row>
    <row r="209" ht="15.75" customHeight="1" s="8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c r="AC209" s="4" t="n"/>
      <c r="AD209" s="4" t="n"/>
    </row>
    <row r="210" ht="15.75" customHeight="1" s="8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c r="AC210" s="4" t="n"/>
      <c r="AD210" s="4" t="n"/>
    </row>
    <row r="211" ht="15.75" customHeight="1" s="8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c r="AC211" s="4" t="n"/>
      <c r="AD211" s="4" t="n"/>
    </row>
    <row r="212" ht="15.75" customHeight="1" s="8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c r="AC212" s="4" t="n"/>
      <c r="AD212" s="4" t="n"/>
    </row>
    <row r="213" ht="15.75" customHeight="1" s="8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c r="AC213" s="4" t="n"/>
      <c r="AD213" s="4" t="n"/>
    </row>
    <row r="214" ht="15.75" customHeight="1" s="8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c r="AD214" s="4" t="n"/>
    </row>
    <row r="215" ht="15.75" customHeight="1" s="8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c r="AD215" s="4" t="n"/>
    </row>
    <row r="216" ht="15.75" customHeight="1" s="8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c r="AC216" s="4" t="n"/>
      <c r="AD216" s="4" t="n"/>
    </row>
    <row r="217" ht="15.75" customHeight="1" s="8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c r="AC217" s="4" t="n"/>
      <c r="AD217" s="4" t="n"/>
    </row>
    <row r="218" ht="15.75" customHeight="1" s="8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c r="AC218" s="4" t="n"/>
      <c r="AD218" s="4" t="n"/>
    </row>
    <row r="219" ht="15.75" customHeight="1" s="8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c r="AC219" s="4" t="n"/>
      <c r="AD219" s="4" t="n"/>
    </row>
    <row r="220" ht="15.75" customHeight="1" s="8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c r="AC220" s="4" t="n"/>
      <c r="AD220" s="4" t="n"/>
    </row>
    <row r="221" ht="15.75" customHeight="1" s="8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c r="AC221" s="4" t="n"/>
      <c r="AD221" s="4" t="n"/>
    </row>
    <row r="222" ht="15.75" customHeight="1" s="8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c r="AC222" s="4" t="n"/>
      <c r="AD222" s="4" t="n"/>
    </row>
    <row r="223" ht="15.75" customHeight="1" s="8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c r="AC223" s="4" t="n"/>
      <c r="AD223" s="4" t="n"/>
    </row>
    <row r="224" ht="15.75" customHeight="1" s="8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c r="AD224" s="4" t="n"/>
    </row>
    <row r="225" ht="15.75" customHeight="1" s="8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c r="AC225" s="4" t="n"/>
      <c r="AD225" s="4" t="n"/>
    </row>
    <row r="226" ht="15.75" customHeight="1" s="8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c r="AC226" s="4" t="n"/>
      <c r="AD226" s="4" t="n"/>
    </row>
    <row r="227" ht="15.75" customHeight="1" s="8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c r="AD227" s="4" t="n"/>
    </row>
    <row r="228" ht="15.75" customHeight="1" s="8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c r="AD228" s="4" t="n"/>
    </row>
    <row r="229" ht="15.75" customHeight="1" s="8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c r="AD229" s="4" t="n"/>
    </row>
    <row r="230" ht="15.75" customHeight="1" s="8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c r="AD230" s="4" t="n"/>
    </row>
    <row r="231" ht="15.75" customHeight="1" s="8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c r="AD231" s="4" t="n"/>
    </row>
    <row r="232" ht="15.75" customHeight="1" s="8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c r="AC232" s="4" t="n"/>
      <c r="AD232" s="4" t="n"/>
    </row>
    <row r="233" ht="15.75" customHeight="1" s="8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c r="AC233" s="4" t="n"/>
      <c r="AD233" s="4" t="n"/>
    </row>
    <row r="234" ht="15.75" customHeight="1" s="8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c r="AC234" s="4" t="n"/>
      <c r="AD234" s="4" t="n"/>
    </row>
    <row r="235" ht="15.75" customHeight="1" s="8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c r="AD235" s="4" t="n"/>
    </row>
    <row r="236" ht="15.75" customHeight="1" s="8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c r="AC236" s="4" t="n"/>
      <c r="AD236" s="4" t="n"/>
    </row>
    <row r="237" ht="15.75" customHeight="1" s="8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c r="AC237" s="4" t="n"/>
      <c r="AD237" s="4" t="n"/>
    </row>
    <row r="238" ht="15.75" customHeight="1" s="8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c r="AC238" s="4" t="n"/>
      <c r="AD238" s="4" t="n"/>
    </row>
    <row r="239" ht="15.75" customHeight="1" s="8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c r="AC239" s="4" t="n"/>
      <c r="AD239" s="4" t="n"/>
    </row>
    <row r="240" ht="15.75" customHeight="1" s="8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c r="AD240" s="4" t="n"/>
    </row>
    <row r="241" ht="15.75" customHeight="1" s="8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row>
    <row r="242" ht="15.75" customHeight="1" s="8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c r="AC242" s="4" t="n"/>
      <c r="AD242" s="4" t="n"/>
    </row>
    <row r="243" ht="15.75" customHeight="1" s="8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c r="AC243" s="4" t="n"/>
      <c r="AD243" s="4" t="n"/>
    </row>
    <row r="244" ht="15.75" customHeight="1" s="8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c r="AD244" s="4" t="n"/>
    </row>
    <row r="245" ht="15.75" customHeight="1" s="8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c r="AC245" s="4" t="n"/>
      <c r="AD245" s="4" t="n"/>
    </row>
    <row r="246" ht="15.75" customHeight="1" s="8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c r="AC246" s="4" t="n"/>
      <c r="AD246" s="4" t="n"/>
    </row>
    <row r="247" ht="15.75" customHeight="1" s="8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row>
    <row r="248" ht="15.75" customHeight="1" s="8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row>
    <row r="249" ht="15.75" customHeight="1" s="8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row>
    <row r="250" ht="15.75" customHeight="1" s="8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c r="AD250" s="4" t="n"/>
    </row>
    <row r="251" ht="15.75" customHeight="1" s="8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c r="AD251" s="4" t="n"/>
    </row>
    <row r="252" ht="15.75" customHeight="1" s="8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c r="AD252" s="4" t="n"/>
    </row>
    <row r="253" ht="15.75" customHeight="1" s="8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row>
    <row r="254" ht="15.75" customHeight="1" s="8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c r="AD254" s="4" t="n"/>
    </row>
    <row r="255" ht="15.75" customHeight="1" s="8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c r="AC255" s="4" t="n"/>
      <c r="AD255" s="4" t="n"/>
    </row>
    <row r="256" ht="15.75" customHeight="1" s="8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c r="AC256" s="4" t="n"/>
      <c r="AD256" s="4" t="n"/>
    </row>
    <row r="257" ht="15.75" customHeight="1" s="8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c r="AD257" s="4" t="n"/>
    </row>
    <row r="258" ht="15.75" customHeight="1" s="8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row>
    <row r="259" ht="15.75" customHeight="1" s="8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c r="AD259" s="4" t="n"/>
    </row>
    <row r="260" ht="15.75" customHeight="1" s="8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c r="AD260" s="4" t="n"/>
    </row>
    <row r="261" ht="15.75" customHeight="1" s="8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c r="AD261" s="4" t="n"/>
    </row>
    <row r="262" ht="15.75" customHeight="1" s="8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row>
    <row r="263" ht="15.75" customHeight="1" s="8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c r="AD263" s="4" t="n"/>
    </row>
    <row r="264" ht="15.75" customHeight="1" s="8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row>
    <row r="265" ht="15.75" customHeight="1" s="8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c r="AD265" s="4" t="n"/>
    </row>
    <row r="266" ht="15.75" customHeight="1" s="8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c r="AD266" s="4" t="n"/>
    </row>
    <row r="267" ht="15.75" customHeight="1" s="8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c r="AC267" s="4" t="n"/>
      <c r="AD267" s="4" t="n"/>
    </row>
    <row r="268" ht="15.75" customHeight="1" s="8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row>
    <row r="269" ht="15.75" customHeight="1" s="8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row>
    <row r="270" ht="15.75" customHeight="1" s="8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row>
    <row r="271" ht="15.75" customHeight="1" s="8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row>
    <row r="272" ht="15.75" customHeight="1" s="8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c r="AD272" s="4" t="n"/>
    </row>
    <row r="273" ht="15.75" customHeight="1" s="8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row>
    <row r="274" ht="15.75" customHeight="1" s="8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c r="AC274" s="4" t="n"/>
      <c r="AD274" s="4" t="n"/>
    </row>
    <row r="275" ht="15.75" customHeight="1" s="8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row>
    <row r="276" ht="15.75" customHeight="1" s="8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row>
    <row r="277" ht="15.75" customHeight="1" s="8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row>
    <row r="278" ht="15.75" customHeight="1" s="8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c r="AD278" s="4" t="n"/>
    </row>
    <row r="279" ht="15.75" customHeight="1" s="8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c r="AC279" s="4" t="n"/>
      <c r="AD279" s="4" t="n"/>
    </row>
    <row r="280" ht="15.75" customHeight="1" s="8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row>
    <row r="281" ht="15.75" customHeight="1" s="8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row>
    <row r="282" ht="15.75" customHeight="1" s="8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c r="AC282" s="4" t="n"/>
      <c r="AD282" s="4" t="n"/>
    </row>
    <row r="283" ht="15.75" customHeight="1" s="8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row>
    <row r="284" ht="15.75" customHeight="1" s="8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row>
    <row r="285" ht="15.75" customHeight="1" s="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row>
    <row r="286" ht="15.75" customHeight="1" s="8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row>
    <row r="287" ht="15.75" customHeight="1" s="8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c r="AC287" s="4" t="n"/>
      <c r="AD287" s="4" t="n"/>
    </row>
    <row r="288" ht="15.75" customHeight="1" s="8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c r="AD288" s="4" t="n"/>
    </row>
    <row r="289" ht="15.75" customHeight="1" s="8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row>
    <row r="290" ht="15.75" customHeight="1" s="8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row>
    <row r="291" ht="15.75" customHeight="1" s="8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row>
    <row r="292" ht="15.75" customHeight="1" s="8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row>
    <row r="293" ht="15.75" customHeight="1" s="8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c r="AC293" s="4" t="n"/>
      <c r="AD293" s="4" t="n"/>
    </row>
    <row r="294" ht="15.75" customHeight="1" s="8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row>
    <row r="295" ht="15.75" customHeight="1" s="8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c r="AC295" s="4" t="n"/>
      <c r="AD295" s="4" t="n"/>
    </row>
    <row r="296" ht="15.75" customHeight="1" s="8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row>
    <row r="297" ht="15.75" customHeight="1" s="8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c r="AC297" s="4" t="n"/>
      <c r="AD297" s="4" t="n"/>
    </row>
    <row r="298" ht="15.75" customHeight="1" s="8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c r="AC298" s="4" t="n"/>
      <c r="AD298" s="4" t="n"/>
    </row>
    <row r="299" ht="15.75" customHeight="1" s="8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row>
    <row r="300" ht="15.75" customHeight="1" s="8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row>
    <row r="301" ht="15.75" customHeight="1" s="8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c r="AC301" s="4" t="n"/>
      <c r="AD301" s="4" t="n"/>
    </row>
    <row r="302" ht="15.75" customHeight="1" s="8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row>
    <row r="303" ht="15.75" customHeight="1" s="8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c r="AD303" s="4" t="n"/>
    </row>
    <row r="304" ht="15.75" customHeight="1" s="8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row>
    <row r="305" ht="15.75" customHeight="1" s="8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row>
    <row r="306" ht="15.75" customHeight="1" s="8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row>
    <row r="307" ht="15.75" customHeight="1" s="8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row>
    <row r="308" ht="15.75" customHeight="1" s="8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c r="AC308" s="4" t="n"/>
      <c r="AD308" s="4" t="n"/>
    </row>
    <row r="309" ht="15.75" customHeight="1" s="8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c r="AC309" s="4" t="n"/>
      <c r="AD309" s="4" t="n"/>
    </row>
    <row r="310" ht="15.75" customHeight="1" s="8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row>
    <row r="311" ht="15.75" customHeight="1" s="8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row>
    <row r="312" ht="15.75" customHeight="1" s="8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c r="AC312" s="4" t="n"/>
      <c r="AD312" s="4" t="n"/>
    </row>
    <row r="313" ht="15.75" customHeight="1" s="8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c r="AC313" s="4" t="n"/>
      <c r="AD313" s="4" t="n"/>
    </row>
    <row r="314" ht="15.75" customHeight="1" s="8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c r="AC314" s="4" t="n"/>
      <c r="AD314" s="4" t="n"/>
    </row>
    <row r="315" ht="15.75" customHeight="1" s="8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c r="AC315" s="4" t="n"/>
      <c r="AD315" s="4" t="n"/>
    </row>
    <row r="316" ht="15.75" customHeight="1" s="8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row>
    <row r="317" ht="15.75" customHeight="1" s="8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c r="AD317" s="4" t="n"/>
    </row>
    <row r="318" ht="15.75" customHeight="1" s="8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row>
    <row r="319" ht="15.75" customHeight="1" s="8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c r="AC319" s="4" t="n"/>
      <c r="AD319" s="4" t="n"/>
    </row>
    <row r="320" ht="15.75" customHeight="1" s="8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c r="AC320" s="4" t="n"/>
      <c r="AD320" s="4" t="n"/>
    </row>
    <row r="321" ht="15.75" customHeight="1" s="8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c r="AC321" s="4" t="n"/>
      <c r="AD321" s="4" t="n"/>
    </row>
    <row r="322" ht="15.75" customHeight="1" s="8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c r="AC322" s="4" t="n"/>
      <c r="AD322" s="4" t="n"/>
    </row>
    <row r="323" ht="15.75" customHeight="1" s="8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c r="AD323" s="4" t="n"/>
    </row>
    <row r="324" ht="15.75" customHeight="1" s="8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c r="AC324" s="4" t="n"/>
      <c r="AD324" s="4" t="n"/>
    </row>
    <row r="325" ht="15.75" customHeight="1" s="8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row>
    <row r="326" ht="15.75" customHeight="1" s="8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c r="AD326" s="4" t="n"/>
    </row>
    <row r="327" ht="15.75" customHeight="1" s="8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row>
    <row r="328" ht="15.75" customHeight="1" s="8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c r="AC328" s="4" t="n"/>
      <c r="AD328" s="4" t="n"/>
    </row>
    <row r="329" ht="15.75" customHeight="1" s="8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row>
    <row r="330" ht="15.75" customHeight="1" s="8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row>
    <row r="331" ht="15.75" customHeight="1" s="8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c r="AD331" s="4" t="n"/>
    </row>
    <row r="332" ht="15.75" customHeight="1" s="8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row>
    <row r="333" ht="15.75" customHeight="1" s="8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row>
    <row r="334" ht="15.75" customHeight="1" s="8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row>
    <row r="335" ht="15.75" customHeight="1" s="8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c r="AD335" s="4" t="n"/>
    </row>
    <row r="336" ht="15.75" customHeight="1" s="8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row>
    <row r="337" ht="15.75" customHeight="1" s="8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c r="AC337" s="4" t="n"/>
      <c r="AD337" s="4" t="n"/>
    </row>
    <row r="338" ht="15.75" customHeight="1" s="8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c r="AD338" s="4" t="n"/>
    </row>
    <row r="339" ht="15.75" customHeight="1" s="8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c r="AC339" s="4" t="n"/>
      <c r="AD339" s="4" t="n"/>
    </row>
    <row r="340" ht="15.75" customHeight="1" s="8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c r="AC340" s="4" t="n"/>
      <c r="AD340" s="4" t="n"/>
    </row>
    <row r="341" ht="15.75" customHeight="1" s="8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c r="AD341" s="4" t="n"/>
    </row>
    <row r="342" ht="15.75" customHeight="1" s="8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c r="AD342" s="4" t="n"/>
    </row>
    <row r="343" ht="15.75" customHeight="1" s="8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c r="AD343" s="4" t="n"/>
    </row>
    <row r="344" ht="15.75" customHeight="1" s="8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c r="AD344" s="4" t="n"/>
    </row>
    <row r="345" ht="15.75" customHeight="1" s="8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row>
    <row r="346" ht="15.75" customHeight="1" s="8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row>
    <row r="347" ht="15.75" customHeight="1" s="8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c r="AD347" s="4" t="n"/>
    </row>
    <row r="348" ht="15.75" customHeight="1" s="8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c r="AC348" s="4" t="n"/>
      <c r="AD348" s="4" t="n"/>
    </row>
    <row r="349" ht="15.75" customHeight="1" s="8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row>
    <row r="350" ht="15.75" customHeight="1" s="8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row>
    <row r="351" ht="15.75" customHeight="1" s="8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row>
    <row r="352" ht="15.75" customHeight="1" s="8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c r="AC352" s="4" t="n"/>
      <c r="AD352" s="4" t="n"/>
    </row>
    <row r="353" ht="15.75" customHeight="1" s="8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row>
    <row r="354" ht="15.75" customHeight="1" s="8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row>
    <row r="355" ht="15.75" customHeight="1" s="8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row>
    <row r="356" ht="15.75" customHeight="1" s="8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row>
    <row r="357" ht="15.75" customHeight="1" s="8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row>
    <row r="358" ht="15.75" customHeight="1" s="8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row>
    <row r="359" ht="15.75" customHeight="1" s="8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c r="AD359" s="4" t="n"/>
    </row>
    <row r="360" ht="15.75" customHeight="1" s="8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c r="AC360" s="4" t="n"/>
      <c r="AD360" s="4" t="n"/>
    </row>
    <row r="361" ht="15.75" customHeight="1" s="8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c r="AD361" s="4" t="n"/>
    </row>
    <row r="362" ht="15.75" customHeight="1" s="8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row>
    <row r="363" ht="15.75" customHeight="1" s="8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c r="AD363" s="4" t="n"/>
    </row>
    <row r="364" ht="15.75" customHeight="1" s="8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c r="AD364" s="4" t="n"/>
    </row>
    <row r="365" ht="15.75" customHeight="1" s="8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c r="AD365" s="4" t="n"/>
    </row>
    <row r="366" ht="15.75" customHeight="1" s="8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row>
    <row r="367" ht="15.75" customHeight="1" s="8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c r="AD367" s="4" t="n"/>
    </row>
    <row r="368" ht="15.75" customHeight="1" s="8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row>
    <row r="369" ht="15.75" customHeight="1" s="8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c r="AC369" s="4" t="n"/>
      <c r="AD369" s="4" t="n"/>
    </row>
    <row r="370" ht="15.75" customHeight="1" s="8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row>
    <row r="371" ht="15.75" customHeight="1" s="8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c r="AC371" s="4" t="n"/>
      <c r="AD371" s="4" t="n"/>
    </row>
    <row r="372" ht="15.75" customHeight="1" s="8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row>
    <row r="373" ht="15.75" customHeight="1" s="8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row>
    <row r="374" ht="15.75" customHeight="1" s="8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row>
    <row r="375" ht="15.75" customHeight="1" s="8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c r="AC375" s="4" t="n"/>
      <c r="AD375" s="4" t="n"/>
    </row>
    <row r="376" ht="15.75" customHeight="1" s="8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c r="AC376" s="4" t="n"/>
      <c r="AD376" s="4" t="n"/>
    </row>
    <row r="377" ht="15.75" customHeight="1" s="8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row>
    <row r="378" ht="15.75" customHeight="1" s="8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c r="AC378" s="4" t="n"/>
      <c r="AD378" s="4" t="n"/>
    </row>
    <row r="379" ht="15.75" customHeight="1" s="8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c r="AD379" s="4" t="n"/>
    </row>
    <row r="380" ht="15.75" customHeight="1" s="8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row>
    <row r="381" ht="15.75" customHeight="1" s="8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c r="AC381" s="4" t="n"/>
      <c r="AD381" s="4" t="n"/>
    </row>
    <row r="382" ht="15.75" customHeight="1" s="8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row>
    <row r="383" ht="15.75" customHeight="1" s="8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c r="AD383" s="4" t="n"/>
    </row>
    <row r="384" ht="15.75" customHeight="1" s="8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row>
    <row r="385" ht="15.75" customHeight="1" s="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row>
    <row r="386" ht="15.75" customHeight="1" s="8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c r="AC386" s="4" t="n"/>
      <c r="AD386" s="4" t="n"/>
    </row>
    <row r="387" ht="15.75" customHeight="1" s="8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row>
    <row r="388" ht="15.75" customHeight="1" s="8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row>
    <row r="389" ht="15.75" customHeight="1" s="8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row>
    <row r="390" ht="15.75" customHeight="1" s="8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row>
    <row r="391" ht="15.75" customHeight="1" s="8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row>
    <row r="392" ht="15.75" customHeight="1" s="8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row>
    <row r="393" ht="15.75" customHeight="1" s="8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row>
    <row r="394" ht="15.75" customHeight="1" s="8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c r="AD394" s="4" t="n"/>
    </row>
    <row r="395" ht="15.75" customHeight="1" s="8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c r="AD395" s="4" t="n"/>
    </row>
    <row r="396" ht="15.75" customHeight="1" s="8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row>
    <row r="397" ht="15.75" customHeight="1" s="8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c r="AD397" s="4" t="n"/>
    </row>
    <row r="398" ht="15.75" customHeight="1" s="8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row>
    <row r="399" ht="15.75" customHeight="1" s="8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row>
    <row r="400" ht="15.75" customHeight="1" s="8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c r="AC400" s="4" t="n"/>
      <c r="AD400" s="4" t="n"/>
    </row>
    <row r="401" ht="15.75" customHeight="1" s="8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c r="AC401" s="4" t="n"/>
      <c r="AD401" s="4" t="n"/>
    </row>
    <row r="402" ht="15.75" customHeight="1" s="8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row>
    <row r="403" ht="15.75" customHeight="1" s="8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row>
    <row r="404" ht="15.75" customHeight="1" s="8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row>
    <row r="405" ht="15.75" customHeight="1" s="8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row>
    <row r="406" ht="15.75" customHeight="1" s="8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row>
    <row r="407" ht="15.75" customHeight="1" s="8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row>
    <row r="408" ht="15.75" customHeight="1" s="8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row>
    <row r="409" ht="15.75" customHeight="1" s="8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row>
    <row r="410" ht="15.75" customHeight="1" s="8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c r="AC410" s="4" t="n"/>
      <c r="AD410" s="4" t="n"/>
    </row>
    <row r="411" ht="15.75" customHeight="1" s="8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row>
    <row r="412" ht="15.75" customHeight="1" s="8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row>
    <row r="413" ht="15.75" customHeight="1" s="8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c r="AD413" s="4" t="n"/>
    </row>
    <row r="414" ht="15.75" customHeight="1" s="8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row>
    <row r="415" ht="15.75" customHeight="1" s="8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c r="AD415" s="4" t="n"/>
    </row>
    <row r="416" ht="15.75" customHeight="1" s="8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row>
    <row r="417" ht="15.75" customHeight="1" s="8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c r="AD417" s="4" t="n"/>
    </row>
    <row r="418" ht="15.75" customHeight="1" s="8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row>
    <row r="419" ht="15.75" customHeight="1" s="8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row>
    <row r="420" ht="15.75" customHeight="1" s="8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c r="AD420" s="4" t="n"/>
    </row>
    <row r="421" ht="15.75" customHeight="1" s="8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c r="AD421" s="4" t="n"/>
    </row>
    <row r="422" ht="15.75" customHeight="1" s="8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row>
    <row r="423" ht="15.75" customHeight="1" s="8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row>
    <row r="424" ht="15.75" customHeight="1" s="8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row>
    <row r="425" ht="15.75" customHeight="1" s="8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c r="AD425" s="4" t="n"/>
    </row>
    <row r="426" ht="15.75" customHeight="1" s="8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row>
    <row r="427" ht="15.75" customHeight="1" s="8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row>
    <row r="428" ht="15.75" customHeight="1" s="8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row>
    <row r="429" ht="15.75" customHeight="1" s="8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row>
    <row r="430" ht="15.75" customHeight="1" s="8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row>
    <row r="431" ht="15.75" customHeight="1" s="8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row>
    <row r="432" ht="15.75" customHeight="1" s="8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row>
    <row r="433" ht="15.75" customHeight="1" s="8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row>
    <row r="434" ht="15.75" customHeight="1" s="8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row>
    <row r="435" ht="15.75" customHeight="1" s="8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row>
    <row r="436" ht="15.75" customHeight="1" s="8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row>
    <row r="437" ht="15.75" customHeight="1" s="8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c r="AD437" s="4" t="n"/>
    </row>
    <row r="438" ht="15.75" customHeight="1" s="8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row>
    <row r="439" ht="15.75" customHeight="1" s="8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row>
    <row r="440" ht="15.75" customHeight="1" s="8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row>
    <row r="441" ht="15.75" customHeight="1" s="8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row>
    <row r="442" ht="15.75" customHeight="1" s="8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row>
    <row r="443" ht="15.75" customHeight="1" s="8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c r="AD443" s="4" t="n"/>
    </row>
    <row r="444" ht="15.75" customHeight="1" s="8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row>
    <row r="445" ht="15.75" customHeight="1" s="8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c r="AD445" s="4" t="n"/>
    </row>
    <row r="446" ht="15.75" customHeight="1" s="8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c r="AD446" s="4" t="n"/>
    </row>
    <row r="447" ht="15.75" customHeight="1" s="8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c r="AD447" s="4" t="n"/>
    </row>
    <row r="448" ht="15.75" customHeight="1" s="8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row>
    <row r="449" ht="15.75" customHeight="1" s="8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row>
    <row r="450" ht="15.75" customHeight="1" s="8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c r="AC450" s="4" t="n"/>
      <c r="AD450" s="4" t="n"/>
    </row>
    <row r="451" ht="15.75" customHeight="1" s="8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c r="AD451" s="4" t="n"/>
    </row>
    <row r="452" ht="15.75" customHeight="1" s="8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row>
    <row r="453" ht="15.75" customHeight="1" s="8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c r="AD453" s="4" t="n"/>
    </row>
    <row r="454" ht="15.75" customHeight="1" s="8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row>
    <row r="455" ht="15.75" customHeight="1" s="8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row>
    <row r="456" ht="15.75" customHeight="1" s="8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row>
    <row r="457" ht="15.75" customHeight="1" s="8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row>
    <row r="458" ht="15.75" customHeight="1" s="8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row>
    <row r="459" ht="15.75" customHeight="1" s="8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row>
    <row r="460" ht="15.75" customHeight="1" s="8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row>
    <row r="461" ht="15.75" customHeight="1" s="8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c r="AD461" s="4" t="n"/>
    </row>
    <row r="462" ht="15.75" customHeight="1" s="8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row>
    <row r="463" ht="15.75" customHeight="1" s="8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row>
    <row r="464" ht="15.75" customHeight="1" s="8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c r="AC464" s="4" t="n"/>
      <c r="AD464" s="4" t="n"/>
    </row>
    <row r="465" ht="15.75" customHeight="1" s="8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row>
    <row r="466" ht="15.75" customHeight="1" s="8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row>
    <row r="467" ht="15.75" customHeight="1" s="8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row>
    <row r="468" ht="15.75" customHeight="1" s="8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row>
    <row r="469" ht="15.75" customHeight="1" s="8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c r="AD469" s="4" t="n"/>
    </row>
    <row r="470" ht="15.75" customHeight="1" s="8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row>
    <row r="471" ht="15.75" customHeight="1" s="8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row>
    <row r="472" ht="15.75" customHeight="1" s="8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row>
    <row r="473" ht="15.75" customHeight="1" s="8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row>
    <row r="474" ht="15.75" customHeight="1" s="8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c r="AC474" s="4" t="n"/>
      <c r="AD474" s="4" t="n"/>
    </row>
    <row r="475" ht="15.75" customHeight="1" s="8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row>
    <row r="476" ht="15.75" customHeight="1" s="8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row>
    <row r="477" ht="15.75" customHeight="1" s="8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c r="AC477" s="4" t="n"/>
      <c r="AD477" s="4" t="n"/>
    </row>
    <row r="478" ht="15.75" customHeight="1" s="8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row>
    <row r="479" ht="15.75" customHeight="1" s="8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c r="AD479" s="4" t="n"/>
    </row>
    <row r="480" ht="15.75" customHeight="1" s="8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row>
    <row r="481" ht="15.75" customHeight="1" s="8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c r="AC481" s="4" t="n"/>
      <c r="AD481" s="4" t="n"/>
    </row>
    <row r="482" ht="15.75" customHeight="1" s="8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c r="AD482" s="4" t="n"/>
    </row>
    <row r="483" ht="15.75" customHeight="1" s="8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c r="AC483" s="4" t="n"/>
      <c r="AD483" s="4" t="n"/>
    </row>
    <row r="484" ht="15.75" customHeight="1" s="8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row>
    <row r="485" ht="15.75" customHeight="1" s="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c r="AC485" s="4" t="n"/>
      <c r="AD485" s="4" t="n"/>
    </row>
    <row r="486" ht="15.75" customHeight="1" s="8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row>
    <row r="487" ht="15.75" customHeight="1" s="8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row>
    <row r="488" ht="15.75" customHeight="1" s="8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row>
    <row r="489" ht="15.75" customHeight="1" s="8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c r="AC489" s="4" t="n"/>
      <c r="AD489" s="4" t="n"/>
    </row>
    <row r="490" ht="15.75" customHeight="1" s="8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row>
    <row r="491" ht="15.75" customHeight="1" s="8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row>
    <row r="492" ht="15.75" customHeight="1" s="8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c r="AC492" s="4" t="n"/>
      <c r="AD492" s="4" t="n"/>
    </row>
    <row r="493" ht="15.75" customHeight="1" s="8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c r="AC493" s="4" t="n"/>
      <c r="AD493" s="4" t="n"/>
    </row>
    <row r="494" ht="15.75" customHeight="1" s="8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row>
    <row r="495" ht="15.75" customHeight="1" s="8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row>
    <row r="496" ht="15.75" customHeight="1" s="8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c r="AC496" s="4" t="n"/>
      <c r="AD496" s="4" t="n"/>
    </row>
    <row r="497" ht="15.75" customHeight="1" s="8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row>
    <row r="498" ht="15.75" customHeight="1" s="8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row>
    <row r="499" ht="15.75" customHeight="1" s="8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c r="AC499" s="4" t="n"/>
      <c r="AD499" s="4" t="n"/>
    </row>
    <row r="500" ht="15.75" customHeight="1" s="8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row>
    <row r="501" ht="15.75" customHeight="1" s="8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row>
    <row r="502" ht="15.75" customHeight="1" s="8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row>
    <row r="503" ht="15.75" customHeight="1" s="8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c r="AC503" s="4" t="n"/>
      <c r="AD503" s="4" t="n"/>
    </row>
    <row r="504" ht="15.75" customHeight="1" s="8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c r="AC504" s="4" t="n"/>
      <c r="AD504" s="4" t="n"/>
    </row>
    <row r="505" ht="15.75" customHeight="1" s="8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c r="AD505" s="4" t="n"/>
    </row>
    <row r="506" ht="15.75" customHeight="1" s="8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row>
    <row r="507" ht="15.75" customHeight="1" s="8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row>
    <row r="508" ht="15.75" customHeight="1" s="8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c r="AC508" s="4" t="n"/>
      <c r="AD508" s="4" t="n"/>
    </row>
    <row r="509" ht="15.75" customHeight="1" s="8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c r="AC509" s="4" t="n"/>
      <c r="AD509" s="4" t="n"/>
    </row>
    <row r="510" ht="15.75" customHeight="1" s="8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c r="AC510" s="4" t="n"/>
      <c r="AD510" s="4" t="n"/>
    </row>
    <row r="511" ht="15.75" customHeight="1" s="8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c r="AC511" s="4" t="n"/>
      <c r="AD511" s="4" t="n"/>
    </row>
    <row r="512" ht="15.75" customHeight="1" s="8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c r="AC512" s="4" t="n"/>
      <c r="AD512" s="4" t="n"/>
    </row>
    <row r="513" ht="15.75" customHeight="1" s="8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c r="AC513" s="4" t="n"/>
      <c r="AD513" s="4" t="n"/>
    </row>
    <row r="514" ht="15.75" customHeight="1" s="8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c r="AD514" s="4" t="n"/>
    </row>
    <row r="515" ht="15.75" customHeight="1" s="8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c r="AC515" s="4" t="n"/>
      <c r="AD515" s="4" t="n"/>
    </row>
    <row r="516" ht="15.75" customHeight="1" s="8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c r="AD516" s="4" t="n"/>
    </row>
    <row r="517" ht="15.75" customHeight="1" s="8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c r="AC517" s="4" t="n"/>
      <c r="AD517" s="4" t="n"/>
    </row>
    <row r="518" ht="15.75" customHeight="1" s="8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c r="AC518" s="4" t="n"/>
      <c r="AD518" s="4" t="n"/>
    </row>
    <row r="519" ht="15.75" customHeight="1" s="8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c r="AC519" s="4" t="n"/>
      <c r="AD519" s="4" t="n"/>
    </row>
    <row r="520" ht="15.75" customHeight="1" s="8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c r="AD520" s="4" t="n"/>
    </row>
    <row r="521" ht="15.75" customHeight="1" s="8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c r="AD521" s="4" t="n"/>
    </row>
    <row r="522" ht="15.75" customHeight="1" s="8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c r="AC522" s="4" t="n"/>
      <c r="AD522" s="4" t="n"/>
    </row>
    <row r="523" ht="15.75" customHeight="1" s="8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row>
    <row r="524" ht="15.75" customHeight="1" s="8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c r="AD524" s="4" t="n"/>
    </row>
    <row r="525" ht="15.75" customHeight="1" s="8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row>
    <row r="526" ht="15.75" customHeight="1" s="8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row>
    <row r="527" ht="15.75" customHeight="1" s="8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row>
    <row r="528" ht="15.75" customHeight="1" s="8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row>
    <row r="529" ht="15.75" customHeight="1" s="8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row>
    <row r="530" ht="15.75" customHeight="1" s="8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c r="AD530" s="4" t="n"/>
    </row>
    <row r="531" ht="15.75" customHeight="1" s="8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row>
    <row r="532" ht="15.75" customHeight="1" s="8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c r="AC532" s="4" t="n"/>
      <c r="AD532" s="4" t="n"/>
    </row>
    <row r="533" ht="15.75" customHeight="1" s="8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c r="AC533" s="4" t="n"/>
      <c r="AD533" s="4" t="n"/>
    </row>
    <row r="534" ht="15.75" customHeight="1" s="8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c r="AD534" s="4" t="n"/>
    </row>
    <row r="535" ht="15.75" customHeight="1" s="8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c r="AC535" s="4" t="n"/>
      <c r="AD535" s="4" t="n"/>
    </row>
    <row r="536" ht="15.75" customHeight="1" s="8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c r="AC536" s="4" t="n"/>
      <c r="AD536" s="4" t="n"/>
    </row>
    <row r="537" ht="15.75" customHeight="1" s="8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row>
    <row r="538" ht="15.75" customHeight="1" s="8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c r="AC538" s="4" t="n"/>
      <c r="AD538" s="4" t="n"/>
    </row>
    <row r="539" ht="15.75" customHeight="1" s="8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c r="AC539" s="4" t="n"/>
      <c r="AD539" s="4" t="n"/>
    </row>
    <row r="540" ht="15.75" customHeight="1" s="8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c r="AD540" s="4" t="n"/>
    </row>
    <row r="541" ht="15.75" customHeight="1" s="8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c r="AC541" s="4" t="n"/>
      <c r="AD541" s="4" t="n"/>
    </row>
    <row r="542" ht="15.75" customHeight="1" s="8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row>
    <row r="543" ht="15.75" customHeight="1" s="8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c r="AD543" s="4" t="n"/>
    </row>
    <row r="544" ht="15.75" customHeight="1" s="8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c r="AC544" s="4" t="n"/>
      <c r="AD544" s="4" t="n"/>
    </row>
    <row r="545" ht="15.75" customHeight="1" s="8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c r="AC545" s="4" t="n"/>
      <c r="AD545" s="4" t="n"/>
    </row>
    <row r="546" ht="15.75" customHeight="1" s="8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row>
    <row r="547" ht="15.75" customHeight="1" s="8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c r="AC547" s="4" t="n"/>
      <c r="AD547" s="4" t="n"/>
    </row>
    <row r="548" ht="15.75" customHeight="1" s="8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row>
    <row r="549" ht="15.75" customHeight="1" s="8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row>
    <row r="550" ht="15.75" customHeight="1" s="8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c r="AD550" s="4" t="n"/>
    </row>
    <row r="551" ht="15.75" customHeight="1" s="8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row>
    <row r="552" ht="15.75" customHeight="1" s="8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row>
    <row r="553" ht="15.75" customHeight="1" s="8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c r="AC553" s="4" t="n"/>
      <c r="AD553" s="4" t="n"/>
    </row>
    <row r="554" ht="15.75" customHeight="1" s="8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c r="AC554" s="4" t="n"/>
      <c r="AD554" s="4" t="n"/>
    </row>
    <row r="555" ht="15.75" customHeight="1" s="8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c r="AC555" s="4" t="n"/>
      <c r="AD555" s="4" t="n"/>
    </row>
    <row r="556" ht="15.75" customHeight="1" s="8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c r="AD556" s="4" t="n"/>
    </row>
    <row r="557" ht="15.75" customHeight="1" s="8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c r="AC557" s="4" t="n"/>
      <c r="AD557" s="4" t="n"/>
    </row>
    <row r="558" ht="15.75" customHeight="1" s="8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c r="AC558" s="4" t="n"/>
      <c r="AD558" s="4" t="n"/>
    </row>
    <row r="559" ht="15.75" customHeight="1" s="8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c r="AC559" s="4" t="n"/>
      <c r="AD559" s="4" t="n"/>
    </row>
    <row r="560" ht="15.75" customHeight="1" s="8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row>
    <row r="561" ht="15.75" customHeight="1" s="8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c r="AC561" s="4" t="n"/>
      <c r="AD561" s="4" t="n"/>
    </row>
    <row r="562" ht="15.75" customHeight="1" s="8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c r="AC562" s="4" t="n"/>
      <c r="AD562" s="4" t="n"/>
    </row>
    <row r="563" ht="15.75" customHeight="1" s="8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c r="AD563" s="4" t="n"/>
    </row>
    <row r="564" ht="15.75" customHeight="1" s="8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c r="AC564" s="4" t="n"/>
      <c r="AD564" s="4" t="n"/>
    </row>
    <row r="565" ht="15.75" customHeight="1" s="8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c r="AD565" s="4" t="n"/>
    </row>
    <row r="566" ht="15.75" customHeight="1" s="8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c r="AC566" s="4" t="n"/>
      <c r="AD566" s="4" t="n"/>
    </row>
    <row r="567" ht="15.75" customHeight="1" s="8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row>
    <row r="568" ht="15.75" customHeight="1" s="8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c r="AC568" s="4" t="n"/>
      <c r="AD568" s="4" t="n"/>
    </row>
    <row r="569" ht="15.75" customHeight="1" s="8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c r="AC569" s="4" t="n"/>
      <c r="AD569" s="4" t="n"/>
    </row>
    <row r="570" ht="15.75" customHeight="1" s="8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c r="AC570" s="4" t="n"/>
      <c r="AD570" s="4" t="n"/>
    </row>
    <row r="571" ht="15.75" customHeight="1" s="8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c r="AC571" s="4" t="n"/>
      <c r="AD571" s="4" t="n"/>
    </row>
    <row r="572" ht="15.75" customHeight="1" s="8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c r="AD572" s="4" t="n"/>
    </row>
    <row r="573" ht="15.75" customHeight="1" s="8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c r="AD573" s="4" t="n"/>
    </row>
    <row r="574" ht="15.75" customHeight="1" s="8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c r="AD574" s="4" t="n"/>
    </row>
    <row r="575" ht="15.75" customHeight="1" s="8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c r="AC575" s="4" t="n"/>
      <c r="AD575" s="4" t="n"/>
    </row>
    <row r="576" ht="15.75" customHeight="1" s="8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c r="AC576" s="4" t="n"/>
      <c r="AD576" s="4" t="n"/>
    </row>
    <row r="577" ht="15.75" customHeight="1" s="8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c r="AD577" s="4" t="n"/>
    </row>
    <row r="578" ht="15.75" customHeight="1" s="8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row>
    <row r="579" ht="15.75" customHeight="1" s="8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c r="AD579" s="4" t="n"/>
    </row>
    <row r="580" ht="15.75" customHeight="1" s="8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c r="AD580" s="4" t="n"/>
    </row>
    <row r="581" ht="15.75" customHeight="1" s="8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row>
    <row r="582" ht="15.75" customHeight="1" s="8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c r="AC582" s="4" t="n"/>
      <c r="AD582" s="4" t="n"/>
    </row>
    <row r="583" ht="15.75" customHeight="1" s="8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row>
    <row r="584" ht="15.75" customHeight="1" s="8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c r="AC584" s="4" t="n"/>
      <c r="AD584" s="4" t="n"/>
    </row>
    <row r="585" ht="15.75" customHeight="1" s="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c r="AC585" s="4" t="n"/>
      <c r="AD585" s="4" t="n"/>
    </row>
    <row r="586" ht="15.75" customHeight="1" s="8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c r="AC586" s="4" t="n"/>
      <c r="AD586" s="4" t="n"/>
    </row>
    <row r="587" ht="15.75" customHeight="1" s="8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c r="AD587" s="4" t="n"/>
    </row>
    <row r="588" ht="15.75" customHeight="1" s="8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row>
    <row r="589" ht="15.75" customHeight="1" s="8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row>
    <row r="590" ht="15.75" customHeight="1" s="8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c r="AD590" s="4" t="n"/>
    </row>
    <row r="591" ht="15.75" customHeight="1" s="8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c r="AC591" s="4" t="n"/>
      <c r="AD591" s="4" t="n"/>
    </row>
    <row r="592" ht="15.75" customHeight="1" s="8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c r="AC592" s="4" t="n"/>
      <c r="AD592" s="4" t="n"/>
    </row>
    <row r="593" ht="15.75" customHeight="1" s="8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row>
    <row r="594" ht="15.75" customHeight="1" s="8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row>
    <row r="595" ht="15.75" customHeight="1" s="8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c r="AD595" s="4" t="n"/>
    </row>
    <row r="596" ht="15.75" customHeight="1" s="8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c r="AC596" s="4" t="n"/>
      <c r="AD596" s="4" t="n"/>
    </row>
    <row r="597" ht="15.75" customHeight="1" s="8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c r="AC597" s="4" t="n"/>
      <c r="AD597" s="4" t="n"/>
    </row>
    <row r="598" ht="15.75" customHeight="1" s="8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c r="AB598" s="4" t="n"/>
      <c r="AC598" s="4" t="n"/>
      <c r="AD598" s="4" t="n"/>
    </row>
    <row r="599" ht="15.75" customHeight="1" s="8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c r="AC599" s="4" t="n"/>
      <c r="AD599" s="4" t="n"/>
    </row>
    <row r="600" ht="15.75" customHeight="1" s="8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c r="AC600" s="4" t="n"/>
      <c r="AD600" s="4" t="n"/>
    </row>
    <row r="601" ht="15.75" customHeight="1" s="8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c r="AC601" s="4" t="n"/>
      <c r="AD601" s="4" t="n"/>
    </row>
    <row r="602" ht="15.75" customHeight="1" s="8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c r="AC602" s="4" t="n"/>
      <c r="AD602" s="4" t="n"/>
    </row>
    <row r="603" ht="15.75" customHeight="1" s="8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c r="AD603" s="4" t="n"/>
    </row>
    <row r="604" ht="15.75" customHeight="1" s="8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c r="AB604" s="4" t="n"/>
      <c r="AC604" s="4" t="n"/>
      <c r="AD604" s="4" t="n"/>
    </row>
    <row r="605" ht="15.75" customHeight="1" s="8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c r="AC605" s="4" t="n"/>
      <c r="AD605" s="4" t="n"/>
    </row>
    <row r="606" ht="15.75" customHeight="1" s="8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c r="AD606" s="4" t="n"/>
    </row>
    <row r="607" ht="15.75" customHeight="1" s="8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c r="AC607" s="4" t="n"/>
      <c r="AD607" s="4" t="n"/>
    </row>
    <row r="608" ht="15.75" customHeight="1" s="8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row>
    <row r="609" ht="15.75" customHeight="1" s="8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c r="AD609" s="4" t="n"/>
    </row>
    <row r="610" ht="15.75" customHeight="1" s="8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c r="AD610" s="4" t="n"/>
    </row>
    <row r="611" ht="15.75" customHeight="1" s="8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row>
    <row r="612" ht="15.75" customHeight="1" s="8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c r="AC612" s="4" t="n"/>
      <c r="AD612" s="4" t="n"/>
    </row>
    <row r="613" ht="15.75" customHeight="1" s="8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c r="AB613" s="4" t="n"/>
      <c r="AC613" s="4" t="n"/>
      <c r="AD613" s="4" t="n"/>
    </row>
    <row r="614" ht="15.75" customHeight="1" s="8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c r="AC614" s="4" t="n"/>
      <c r="AD614" s="4" t="n"/>
    </row>
    <row r="615" ht="15.75" customHeight="1" s="8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c r="AC615" s="4" t="n"/>
      <c r="AD615" s="4" t="n"/>
    </row>
    <row r="616" ht="15.75" customHeight="1" s="8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c r="AC616" s="4" t="n"/>
      <c r="AD616" s="4" t="n"/>
    </row>
    <row r="617" ht="15.75" customHeight="1" s="8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row>
    <row r="618" ht="15.75" customHeight="1" s="8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c r="AD618" s="4" t="n"/>
    </row>
    <row r="619" ht="15.75" customHeight="1" s="8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c r="AB619" s="4" t="n"/>
      <c r="AC619" s="4" t="n"/>
      <c r="AD619" s="4" t="n"/>
    </row>
    <row r="620" ht="15.75" customHeight="1" s="8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c r="AB620" s="4" t="n"/>
      <c r="AC620" s="4" t="n"/>
      <c r="AD620" s="4" t="n"/>
    </row>
    <row r="621" ht="15.75" customHeight="1" s="8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c r="AC621" s="4" t="n"/>
      <c r="AD621" s="4" t="n"/>
    </row>
    <row r="622" ht="15.75" customHeight="1" s="8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c r="AC622" s="4" t="n"/>
      <c r="AD622" s="4" t="n"/>
    </row>
    <row r="623" ht="15.75" customHeight="1" s="8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c r="AB623" s="4" t="n"/>
      <c r="AC623" s="4" t="n"/>
      <c r="AD623" s="4" t="n"/>
    </row>
    <row r="624" ht="15.75" customHeight="1" s="8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c r="AB624" s="4" t="n"/>
      <c r="AC624" s="4" t="n"/>
      <c r="AD624" s="4" t="n"/>
    </row>
    <row r="625" ht="15.75" customHeight="1" s="8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c r="AC625" s="4" t="n"/>
      <c r="AD625" s="4" t="n"/>
    </row>
    <row r="626" ht="15.75" customHeight="1" s="8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c r="AB626" s="4" t="n"/>
      <c r="AC626" s="4" t="n"/>
      <c r="AD626" s="4" t="n"/>
    </row>
    <row r="627" ht="15.75" customHeight="1" s="8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c r="AB627" s="4" t="n"/>
      <c r="AC627" s="4" t="n"/>
      <c r="AD627" s="4" t="n"/>
    </row>
    <row r="628" ht="15.75" customHeight="1" s="8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c r="AC628" s="4" t="n"/>
      <c r="AD628" s="4" t="n"/>
    </row>
    <row r="629" ht="15.75" customHeight="1" s="8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c r="AC629" s="4" t="n"/>
      <c r="AD629" s="4" t="n"/>
    </row>
    <row r="630" ht="15.75" customHeight="1" s="8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c r="AD630" s="4" t="n"/>
    </row>
    <row r="631" ht="15.75" customHeight="1" s="8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c r="AC631" s="4" t="n"/>
      <c r="AD631" s="4" t="n"/>
    </row>
    <row r="632" ht="15.75" customHeight="1" s="8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c r="AC632" s="4" t="n"/>
      <c r="AD632" s="4" t="n"/>
    </row>
    <row r="633" ht="15.75" customHeight="1" s="8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c r="AB633" s="4" t="n"/>
      <c r="AC633" s="4" t="n"/>
      <c r="AD633" s="4" t="n"/>
    </row>
    <row r="634" ht="15.75" customHeight="1" s="8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c r="AC634" s="4" t="n"/>
      <c r="AD634" s="4" t="n"/>
    </row>
    <row r="635" ht="15.75" customHeight="1" s="8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c r="AC635" s="4" t="n"/>
      <c r="AD635" s="4" t="n"/>
    </row>
    <row r="636" ht="15.75" customHeight="1" s="8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c r="AC636" s="4" t="n"/>
      <c r="AD636" s="4" t="n"/>
    </row>
    <row r="637" ht="15.75" customHeight="1" s="8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c r="AC637" s="4" t="n"/>
      <c r="AD637" s="4" t="n"/>
    </row>
    <row r="638" ht="15.75" customHeight="1" s="8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row>
    <row r="639" ht="15.75" customHeight="1" s="8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row>
    <row r="640" ht="15.75" customHeight="1" s="8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c r="AD640" s="4" t="n"/>
    </row>
    <row r="641" ht="15.75" customHeight="1" s="8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c r="AD641" s="4" t="n"/>
    </row>
    <row r="642" ht="15.75" customHeight="1" s="8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c r="AB642" s="4" t="n"/>
      <c r="AC642" s="4" t="n"/>
      <c r="AD642" s="4" t="n"/>
    </row>
    <row r="643" ht="15.75" customHeight="1" s="8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row>
    <row r="644" ht="15.75" customHeight="1" s="8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c r="AC644" s="4" t="n"/>
      <c r="AD644" s="4" t="n"/>
    </row>
    <row r="645" ht="15.75" customHeight="1" s="8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c r="AC645" s="4" t="n"/>
      <c r="AD645" s="4" t="n"/>
    </row>
    <row r="646" ht="15.75" customHeight="1" s="8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row>
    <row r="647" ht="15.75" customHeight="1" s="8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c r="AC647" s="4" t="n"/>
      <c r="AD647" s="4" t="n"/>
    </row>
    <row r="648" ht="15.75" customHeight="1" s="8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row>
    <row r="649" ht="15.75" customHeight="1" s="8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c r="AC649" s="4" t="n"/>
      <c r="AD649" s="4" t="n"/>
    </row>
    <row r="650" ht="15.75" customHeight="1" s="8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c r="AC650" s="4" t="n"/>
      <c r="AD650" s="4" t="n"/>
    </row>
    <row r="651" ht="15.75" customHeight="1" s="8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c r="AC651" s="4" t="n"/>
      <c r="AD651" s="4" t="n"/>
    </row>
    <row r="652" ht="15.75" customHeight="1" s="8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row>
    <row r="653" ht="15.75" customHeight="1" s="8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c r="AD653" s="4" t="n"/>
    </row>
    <row r="654" ht="15.75" customHeight="1" s="8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c r="AC654" s="4" t="n"/>
      <c r="AD654" s="4" t="n"/>
    </row>
    <row r="655" ht="15.75" customHeight="1" s="8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c r="AC655" s="4" t="n"/>
      <c r="AD655" s="4" t="n"/>
    </row>
    <row r="656" ht="15.75" customHeight="1" s="8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c r="AC656" s="4" t="n"/>
      <c r="AD656" s="4" t="n"/>
    </row>
    <row r="657" ht="15.75" customHeight="1" s="8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c r="AC657" s="4" t="n"/>
      <c r="AD657" s="4" t="n"/>
    </row>
    <row r="658" ht="15.75" customHeight="1" s="8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c r="AB658" s="4" t="n"/>
      <c r="AC658" s="4" t="n"/>
      <c r="AD658" s="4" t="n"/>
    </row>
    <row r="659" ht="15.75" customHeight="1" s="8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c r="AB659" s="4" t="n"/>
      <c r="AC659" s="4" t="n"/>
      <c r="AD659" s="4" t="n"/>
    </row>
    <row r="660" ht="15.75" customHeight="1" s="8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c r="AC660" s="4" t="n"/>
      <c r="AD660" s="4" t="n"/>
    </row>
    <row r="661" ht="15.75" customHeight="1" s="8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c r="AD661" s="4" t="n"/>
    </row>
    <row r="662" ht="15.75" customHeight="1" s="8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c r="AC662" s="4" t="n"/>
      <c r="AD662" s="4" t="n"/>
    </row>
    <row r="663" ht="15.75" customHeight="1" s="8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c r="AC663" s="4" t="n"/>
      <c r="AD663" s="4" t="n"/>
    </row>
    <row r="664" ht="15.75" customHeight="1" s="8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c r="AD664" s="4" t="n"/>
    </row>
    <row r="665" ht="15.75" customHeight="1" s="8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c r="AB665" s="4" t="n"/>
      <c r="AC665" s="4" t="n"/>
      <c r="AD665" s="4" t="n"/>
    </row>
    <row r="666" ht="15.75" customHeight="1" s="8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c r="AC666" s="4" t="n"/>
      <c r="AD666" s="4" t="n"/>
    </row>
    <row r="667" ht="15.75" customHeight="1" s="8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c r="AC667" s="4" t="n"/>
      <c r="AD667" s="4" t="n"/>
    </row>
    <row r="668" ht="15.75" customHeight="1" s="8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c r="AD668" s="4" t="n"/>
    </row>
    <row r="669" ht="15.75" customHeight="1" s="8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c r="AD669" s="4" t="n"/>
    </row>
    <row r="670" ht="15.75" customHeight="1" s="8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c r="AC670" s="4" t="n"/>
      <c r="AD670" s="4" t="n"/>
    </row>
    <row r="671" ht="15.75" customHeight="1" s="8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c r="AD671" s="4" t="n"/>
    </row>
    <row r="672" ht="15.75" customHeight="1" s="8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row>
    <row r="673" ht="15.75" customHeight="1" s="8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c r="AC673" s="4" t="n"/>
      <c r="AD673" s="4" t="n"/>
    </row>
    <row r="674" ht="15.75" customHeight="1" s="8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c r="AC674" s="4" t="n"/>
      <c r="AD674" s="4" t="n"/>
    </row>
    <row r="675" ht="15.75" customHeight="1" s="8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c r="AD675" s="4" t="n"/>
    </row>
    <row r="676" ht="15.75" customHeight="1" s="8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row>
    <row r="677" ht="15.75" customHeight="1" s="8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row>
    <row r="678" ht="15.75" customHeight="1" s="8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c r="AC678" s="4" t="n"/>
      <c r="AD678" s="4" t="n"/>
    </row>
    <row r="679" ht="15.75" customHeight="1" s="8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c r="AC679" s="4" t="n"/>
      <c r="AD679" s="4" t="n"/>
    </row>
    <row r="680" ht="15.75" customHeight="1" s="8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c r="AD680" s="4" t="n"/>
    </row>
    <row r="681" ht="15.75" customHeight="1" s="8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c r="AD681" s="4" t="n"/>
    </row>
    <row r="682" ht="15.75" customHeight="1" s="8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c r="AC682" s="4" t="n"/>
      <c r="AD682" s="4" t="n"/>
    </row>
    <row r="683" ht="15.75" customHeight="1" s="8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c r="AB683" s="4" t="n"/>
      <c r="AC683" s="4" t="n"/>
      <c r="AD683" s="4" t="n"/>
    </row>
    <row r="684" ht="15.75" customHeight="1" s="8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c r="AC684" s="4" t="n"/>
      <c r="AD684" s="4" t="n"/>
    </row>
    <row r="685" ht="15.75" customHeight="1" s="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c r="AB685" s="4" t="n"/>
      <c r="AC685" s="4" t="n"/>
      <c r="AD685" s="4" t="n"/>
    </row>
    <row r="686" ht="15.75" customHeight="1" s="8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c r="AC686" s="4" t="n"/>
      <c r="AD686" s="4" t="n"/>
    </row>
    <row r="687" ht="15.75" customHeight="1" s="8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c r="AC687" s="4" t="n"/>
      <c r="AD687" s="4" t="n"/>
    </row>
    <row r="688" ht="15.75" customHeight="1" s="8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c r="AC688" s="4" t="n"/>
      <c r="AD688" s="4" t="n"/>
    </row>
    <row r="689" ht="15.75" customHeight="1" s="8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c r="AC689" s="4" t="n"/>
      <c r="AD689" s="4" t="n"/>
    </row>
    <row r="690" ht="15.75" customHeight="1" s="8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c r="AC690" s="4" t="n"/>
      <c r="AD690" s="4" t="n"/>
    </row>
    <row r="691" ht="15.75" customHeight="1" s="8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c r="AC691" s="4" t="n"/>
      <c r="AD691" s="4" t="n"/>
    </row>
    <row r="692" ht="15.75" customHeight="1" s="8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c r="AC692" s="4" t="n"/>
      <c r="AD692" s="4" t="n"/>
    </row>
    <row r="693" ht="15.75" customHeight="1" s="8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c r="AC693" s="4" t="n"/>
      <c r="AD693" s="4" t="n"/>
    </row>
    <row r="694" ht="15.75" customHeight="1" s="8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c r="AC694" s="4" t="n"/>
      <c r="AD694" s="4" t="n"/>
    </row>
    <row r="695" ht="15.75" customHeight="1" s="8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c r="AC695" s="4" t="n"/>
      <c r="AD695" s="4" t="n"/>
    </row>
    <row r="696" ht="15.75" customHeight="1" s="8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c r="AC696" s="4" t="n"/>
      <c r="AD696" s="4" t="n"/>
    </row>
    <row r="697" ht="15.75" customHeight="1" s="8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c r="AC697" s="4" t="n"/>
      <c r="AD697" s="4" t="n"/>
    </row>
    <row r="698" ht="15.75" customHeight="1" s="8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c r="AC698" s="4" t="n"/>
      <c r="AD698" s="4" t="n"/>
    </row>
    <row r="699" ht="15.75" customHeight="1" s="8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c r="AB699" s="4" t="n"/>
      <c r="AC699" s="4" t="n"/>
      <c r="AD699" s="4" t="n"/>
    </row>
    <row r="700" ht="15.75" customHeight="1" s="8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c r="AC700" s="4" t="n"/>
      <c r="AD700" s="4" t="n"/>
    </row>
    <row r="701" ht="15.75" customHeight="1" s="8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c r="AC701" s="4" t="n"/>
      <c r="AD701" s="4" t="n"/>
    </row>
    <row r="702" ht="15.75" customHeight="1" s="8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c r="AC702" s="4" t="n"/>
      <c r="AD702" s="4" t="n"/>
    </row>
    <row r="703" ht="15.75" customHeight="1" s="8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c r="AC703" s="4" t="n"/>
      <c r="AD703" s="4" t="n"/>
    </row>
    <row r="704" ht="15.75" customHeight="1" s="8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c r="AC704" s="4" t="n"/>
      <c r="AD704" s="4" t="n"/>
    </row>
    <row r="705" ht="15.75" customHeight="1" s="8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c r="AC705" s="4" t="n"/>
      <c r="AD705" s="4" t="n"/>
    </row>
    <row r="706" ht="15.75" customHeight="1" s="8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c r="AC706" s="4" t="n"/>
      <c r="AD706" s="4" t="n"/>
    </row>
    <row r="707" ht="15.75" customHeight="1" s="8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c r="AC707" s="4" t="n"/>
      <c r="AD707" s="4" t="n"/>
    </row>
    <row r="708" ht="15.75" customHeight="1" s="8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c r="AC708" s="4" t="n"/>
      <c r="AD708" s="4" t="n"/>
    </row>
    <row r="709" ht="15.75" customHeight="1" s="8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c r="AC709" s="4" t="n"/>
      <c r="AD709" s="4" t="n"/>
    </row>
    <row r="710" ht="15.75" customHeight="1" s="8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c r="AB710" s="4" t="n"/>
      <c r="AC710" s="4" t="n"/>
      <c r="AD710" s="4" t="n"/>
    </row>
    <row r="711" ht="15.75" customHeight="1" s="8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c r="AC711" s="4" t="n"/>
      <c r="AD711" s="4" t="n"/>
    </row>
    <row r="712" ht="15.75" customHeight="1" s="8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c r="AB712" s="4" t="n"/>
      <c r="AC712" s="4" t="n"/>
      <c r="AD712" s="4" t="n"/>
    </row>
    <row r="713" ht="15.75" customHeight="1" s="8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c r="AB713" s="4" t="n"/>
      <c r="AC713" s="4" t="n"/>
      <c r="AD713" s="4" t="n"/>
    </row>
    <row r="714" ht="15.75" customHeight="1" s="8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c r="AB714" s="4" t="n"/>
      <c r="AC714" s="4" t="n"/>
      <c r="AD714" s="4" t="n"/>
    </row>
    <row r="715" ht="15.75" customHeight="1" s="8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c r="AC715" s="4" t="n"/>
      <c r="AD715" s="4" t="n"/>
    </row>
    <row r="716" ht="15.75" customHeight="1" s="8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c r="AB716" s="4" t="n"/>
      <c r="AC716" s="4" t="n"/>
      <c r="AD716" s="4" t="n"/>
    </row>
    <row r="717" ht="15.75" customHeight="1" s="8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c r="AC717" s="4" t="n"/>
      <c r="AD717" s="4" t="n"/>
    </row>
    <row r="718" ht="15.75" customHeight="1" s="8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c r="AC718" s="4" t="n"/>
      <c r="AD718" s="4" t="n"/>
    </row>
    <row r="719" ht="15.75" customHeight="1" s="8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c r="AB719" s="4" t="n"/>
      <c r="AC719" s="4" t="n"/>
      <c r="AD719" s="4" t="n"/>
    </row>
    <row r="720" ht="15.75" customHeight="1" s="8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c r="AC720" s="4" t="n"/>
      <c r="AD720" s="4" t="n"/>
    </row>
    <row r="721" ht="15.75" customHeight="1" s="8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c r="AB721" s="4" t="n"/>
      <c r="AC721" s="4" t="n"/>
      <c r="AD721" s="4" t="n"/>
    </row>
    <row r="722" ht="15.75" customHeight="1" s="8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c r="AB722" s="4" t="n"/>
      <c r="AC722" s="4" t="n"/>
      <c r="AD722" s="4" t="n"/>
    </row>
    <row r="723" ht="15.75" customHeight="1" s="8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c r="AC723" s="4" t="n"/>
      <c r="AD723" s="4" t="n"/>
    </row>
    <row r="724" ht="15.75" customHeight="1" s="8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c r="AC724" s="4" t="n"/>
      <c r="AD724" s="4" t="n"/>
    </row>
    <row r="725" ht="15.75" customHeight="1" s="8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c r="AC725" s="4" t="n"/>
      <c r="AD725" s="4" t="n"/>
    </row>
    <row r="726" ht="15.75" customHeight="1" s="8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c r="AB726" s="4" t="n"/>
      <c r="AC726" s="4" t="n"/>
      <c r="AD726" s="4" t="n"/>
    </row>
    <row r="727" ht="15.75" customHeight="1" s="8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c r="AB727" s="4" t="n"/>
      <c r="AC727" s="4" t="n"/>
      <c r="AD727" s="4" t="n"/>
    </row>
    <row r="728" ht="15.75" customHeight="1" s="8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c r="AB728" s="4" t="n"/>
      <c r="AC728" s="4" t="n"/>
      <c r="AD728" s="4" t="n"/>
    </row>
    <row r="729" ht="15.75" customHeight="1" s="8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c r="AC729" s="4" t="n"/>
      <c r="AD729" s="4" t="n"/>
    </row>
    <row r="730" ht="15.75" customHeight="1" s="8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c r="AC730" s="4" t="n"/>
      <c r="AD730" s="4" t="n"/>
    </row>
    <row r="731" ht="15.75" customHeight="1" s="8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c r="AC731" s="4" t="n"/>
      <c r="AD731" s="4" t="n"/>
    </row>
    <row r="732" ht="15.75" customHeight="1" s="8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c r="AC732" s="4" t="n"/>
      <c r="AD732" s="4" t="n"/>
    </row>
    <row r="733" ht="15.75" customHeight="1" s="8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c r="AC733" s="4" t="n"/>
      <c r="AD733" s="4" t="n"/>
    </row>
    <row r="734" ht="15.75" customHeight="1" s="8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c r="AC734" s="4" t="n"/>
      <c r="AD734" s="4" t="n"/>
    </row>
    <row r="735" ht="15.75" customHeight="1" s="8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c r="AC735" s="4" t="n"/>
      <c r="AD735" s="4" t="n"/>
    </row>
    <row r="736" ht="15.75" customHeight="1" s="8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c r="AB736" s="4" t="n"/>
      <c r="AC736" s="4" t="n"/>
      <c r="AD736" s="4" t="n"/>
    </row>
    <row r="737" ht="15.75" customHeight="1" s="8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c r="AC737" s="4" t="n"/>
      <c r="AD737" s="4" t="n"/>
    </row>
    <row r="738" ht="15.75" customHeight="1" s="8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c r="AB738" s="4" t="n"/>
      <c r="AC738" s="4" t="n"/>
      <c r="AD738" s="4" t="n"/>
    </row>
    <row r="739" ht="15.75" customHeight="1" s="8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c r="AB739" s="4" t="n"/>
      <c r="AC739" s="4" t="n"/>
      <c r="AD739" s="4" t="n"/>
    </row>
    <row r="740" ht="15.75" customHeight="1" s="8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c r="AC740" s="4" t="n"/>
      <c r="AD740" s="4" t="n"/>
    </row>
    <row r="741" ht="15.75" customHeight="1" s="8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c r="AC741" s="4" t="n"/>
      <c r="AD741" s="4" t="n"/>
    </row>
    <row r="742" ht="15.75" customHeight="1" s="8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c r="AC742" s="4" t="n"/>
      <c r="AD742" s="4" t="n"/>
    </row>
    <row r="743" ht="15.75" customHeight="1" s="8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c r="AC743" s="4" t="n"/>
      <c r="AD743" s="4" t="n"/>
    </row>
    <row r="744" ht="15.75" customHeight="1" s="8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c r="AC744" s="4" t="n"/>
      <c r="AD744" s="4" t="n"/>
    </row>
    <row r="745" ht="15.75" customHeight="1" s="8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c r="AC745" s="4" t="n"/>
      <c r="AD745" s="4" t="n"/>
    </row>
    <row r="746" ht="15.75" customHeight="1" s="8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c r="AB746" s="4" t="n"/>
      <c r="AC746" s="4" t="n"/>
      <c r="AD746" s="4" t="n"/>
    </row>
    <row r="747" ht="15.75" customHeight="1" s="8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c r="AC747" s="4" t="n"/>
      <c r="AD747" s="4" t="n"/>
    </row>
    <row r="748" ht="15.75" customHeight="1" s="8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c r="AC748" s="4" t="n"/>
      <c r="AD748" s="4" t="n"/>
    </row>
    <row r="749" ht="15.75" customHeight="1" s="8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c r="AC749" s="4" t="n"/>
      <c r="AD749" s="4" t="n"/>
    </row>
    <row r="750" ht="15.75" customHeight="1" s="8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c r="AB750" s="4" t="n"/>
      <c r="AC750" s="4" t="n"/>
      <c r="AD750" s="4" t="n"/>
    </row>
    <row r="751" ht="15.75" customHeight="1" s="8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c r="AC751" s="4" t="n"/>
      <c r="AD751" s="4" t="n"/>
    </row>
    <row r="752" ht="15.75" customHeight="1" s="8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c r="AC752" s="4" t="n"/>
      <c r="AD752" s="4" t="n"/>
    </row>
    <row r="753" ht="15.75" customHeight="1" s="8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c r="AB753" s="4" t="n"/>
      <c r="AC753" s="4" t="n"/>
      <c r="AD753" s="4" t="n"/>
    </row>
    <row r="754" ht="15.75" customHeight="1" s="8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c r="AB754" s="4" t="n"/>
      <c r="AC754" s="4" t="n"/>
      <c r="AD754" s="4" t="n"/>
    </row>
    <row r="755" ht="15.75" customHeight="1" s="8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c r="AC755" s="4" t="n"/>
      <c r="AD755" s="4" t="n"/>
    </row>
    <row r="756" ht="15.75" customHeight="1" s="8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c r="AC756" s="4" t="n"/>
      <c r="AD756" s="4" t="n"/>
    </row>
    <row r="757" ht="15.75" customHeight="1" s="8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c r="AC757" s="4" t="n"/>
      <c r="AD757" s="4" t="n"/>
    </row>
    <row r="758" ht="15.75" customHeight="1" s="8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c r="AC758" s="4" t="n"/>
      <c r="AD758" s="4" t="n"/>
    </row>
    <row r="759" ht="15.75" customHeight="1" s="8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c r="AC759" s="4" t="n"/>
      <c r="AD759" s="4" t="n"/>
    </row>
    <row r="760" ht="15.75" customHeight="1" s="8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c r="AB760" s="4" t="n"/>
      <c r="AC760" s="4" t="n"/>
      <c r="AD760" s="4" t="n"/>
    </row>
    <row r="761" ht="15.75" customHeight="1" s="8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c r="AB761" s="4" t="n"/>
      <c r="AC761" s="4" t="n"/>
      <c r="AD761" s="4" t="n"/>
    </row>
    <row r="762" ht="15.75" customHeight="1" s="8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c r="AC762" s="4" t="n"/>
      <c r="AD762" s="4" t="n"/>
    </row>
    <row r="763" ht="15.75" customHeight="1" s="8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c r="AC763" s="4" t="n"/>
      <c r="AD763" s="4" t="n"/>
    </row>
    <row r="764" ht="15.75" customHeight="1" s="8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c r="AC764" s="4" t="n"/>
      <c r="AD764" s="4" t="n"/>
    </row>
    <row r="765" ht="15.75" customHeight="1" s="8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c r="AC765" s="4" t="n"/>
      <c r="AD765" s="4" t="n"/>
    </row>
    <row r="766" ht="15.75" customHeight="1" s="8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c r="AB766" s="4" t="n"/>
      <c r="AC766" s="4" t="n"/>
      <c r="AD766" s="4" t="n"/>
    </row>
    <row r="767" ht="15.75" customHeight="1" s="8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c r="AB767" s="4" t="n"/>
      <c r="AC767" s="4" t="n"/>
      <c r="AD767" s="4" t="n"/>
    </row>
    <row r="768" ht="15.75" customHeight="1" s="8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c r="AB768" s="4" t="n"/>
      <c r="AC768" s="4" t="n"/>
      <c r="AD768" s="4" t="n"/>
    </row>
    <row r="769" ht="15.75" customHeight="1" s="8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c r="AB769" s="4" t="n"/>
      <c r="AC769" s="4" t="n"/>
      <c r="AD769" s="4" t="n"/>
    </row>
    <row r="770" ht="15.75" customHeight="1" s="8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c r="AB770" s="4" t="n"/>
      <c r="AC770" s="4" t="n"/>
      <c r="AD770" s="4" t="n"/>
    </row>
    <row r="771" ht="15.75" customHeight="1" s="8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c r="AB771" s="4" t="n"/>
      <c r="AC771" s="4" t="n"/>
      <c r="AD771" s="4" t="n"/>
    </row>
    <row r="772" ht="15.75" customHeight="1" s="8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c r="AB772" s="4" t="n"/>
      <c r="AC772" s="4" t="n"/>
      <c r="AD772" s="4" t="n"/>
    </row>
    <row r="773" ht="15.75" customHeight="1" s="8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c r="AC773" s="4" t="n"/>
      <c r="AD773" s="4" t="n"/>
    </row>
    <row r="774" ht="15.75" customHeight="1" s="8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c r="AB774" s="4" t="n"/>
      <c r="AC774" s="4" t="n"/>
      <c r="AD774" s="4" t="n"/>
    </row>
    <row r="775" ht="15.75" customHeight="1" s="8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c r="AB775" s="4" t="n"/>
      <c r="AC775" s="4" t="n"/>
      <c r="AD775" s="4" t="n"/>
    </row>
    <row r="776" ht="15.75" customHeight="1" s="8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c r="AB776" s="4" t="n"/>
      <c r="AC776" s="4" t="n"/>
      <c r="AD776" s="4" t="n"/>
    </row>
    <row r="777" ht="15.75" customHeight="1" s="8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c r="AC777" s="4" t="n"/>
      <c r="AD777" s="4" t="n"/>
    </row>
    <row r="778" ht="15.75" customHeight="1" s="8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c r="AB778" s="4" t="n"/>
      <c r="AC778" s="4" t="n"/>
      <c r="AD778" s="4" t="n"/>
    </row>
    <row r="779" ht="15.75" customHeight="1" s="8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c r="AB779" s="4" t="n"/>
      <c r="AC779" s="4" t="n"/>
      <c r="AD779" s="4" t="n"/>
    </row>
    <row r="780" ht="15.75" customHeight="1" s="8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c r="AB780" s="4" t="n"/>
      <c r="AC780" s="4" t="n"/>
      <c r="AD780" s="4" t="n"/>
    </row>
    <row r="781" ht="15.75" customHeight="1" s="8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c r="AB781" s="4" t="n"/>
      <c r="AC781" s="4" t="n"/>
      <c r="AD781" s="4" t="n"/>
    </row>
    <row r="782" ht="15.75" customHeight="1" s="8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c r="AB782" s="4" t="n"/>
      <c r="AC782" s="4" t="n"/>
      <c r="AD782" s="4" t="n"/>
    </row>
    <row r="783" ht="15.75" customHeight="1" s="8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c r="AB783" s="4" t="n"/>
      <c r="AC783" s="4" t="n"/>
      <c r="AD783" s="4" t="n"/>
    </row>
    <row r="784" ht="15.75" customHeight="1" s="8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c r="AC784" s="4" t="n"/>
      <c r="AD784" s="4" t="n"/>
    </row>
    <row r="785" ht="15.75" customHeight="1" s="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c r="AB785" s="4" t="n"/>
      <c r="AC785" s="4" t="n"/>
      <c r="AD785" s="4" t="n"/>
    </row>
    <row r="786" ht="15.75" customHeight="1" s="8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c r="AC786" s="4" t="n"/>
      <c r="AD786" s="4" t="n"/>
    </row>
    <row r="787" ht="15.75" customHeight="1" s="8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c r="AB787" s="4" t="n"/>
      <c r="AC787" s="4" t="n"/>
      <c r="AD787" s="4" t="n"/>
    </row>
    <row r="788" ht="15.75" customHeight="1" s="8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c r="AB788" s="4" t="n"/>
      <c r="AC788" s="4" t="n"/>
      <c r="AD788" s="4" t="n"/>
    </row>
    <row r="789" ht="15.75" customHeight="1" s="8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c r="AC789" s="4" t="n"/>
      <c r="AD789" s="4" t="n"/>
    </row>
    <row r="790" ht="15.75" customHeight="1" s="8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c r="AB790" s="4" t="n"/>
      <c r="AC790" s="4" t="n"/>
      <c r="AD790" s="4" t="n"/>
    </row>
    <row r="791" ht="15.75" customHeight="1" s="8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c r="AC791" s="4" t="n"/>
      <c r="AD791" s="4" t="n"/>
    </row>
    <row r="792" ht="15.75" customHeight="1" s="8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c r="AC792" s="4" t="n"/>
      <c r="AD792" s="4" t="n"/>
    </row>
    <row r="793" ht="15.75" customHeight="1" s="8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c r="AC793" s="4" t="n"/>
      <c r="AD793" s="4" t="n"/>
    </row>
    <row r="794" ht="15.75" customHeight="1" s="8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c r="AC794" s="4" t="n"/>
      <c r="AD794" s="4" t="n"/>
    </row>
    <row r="795" ht="15.75" customHeight="1" s="8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c r="AB795" s="4" t="n"/>
      <c r="AC795" s="4" t="n"/>
      <c r="AD795" s="4" t="n"/>
    </row>
    <row r="796" ht="15.75" customHeight="1" s="8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c r="AC796" s="4" t="n"/>
      <c r="AD796" s="4" t="n"/>
    </row>
    <row r="797" ht="15.75" customHeight="1" s="8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c r="AB797" s="4" t="n"/>
      <c r="AC797" s="4" t="n"/>
      <c r="AD797" s="4" t="n"/>
    </row>
    <row r="798" ht="15.75" customHeight="1" s="8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c r="AC798" s="4" t="n"/>
      <c r="AD798" s="4" t="n"/>
    </row>
    <row r="799" ht="15.75" customHeight="1" s="8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c r="AC799" s="4" t="n"/>
      <c r="AD799" s="4" t="n"/>
    </row>
    <row r="800" ht="15.75" customHeight="1" s="8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c r="AC800" s="4" t="n"/>
      <c r="AD800" s="4" t="n"/>
    </row>
    <row r="801" ht="15.75" customHeight="1" s="8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c r="AC801" s="4" t="n"/>
      <c r="AD801" s="4" t="n"/>
    </row>
    <row r="802" ht="15.75" customHeight="1" s="8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c r="AC802" s="4" t="n"/>
      <c r="AD802" s="4" t="n"/>
    </row>
    <row r="803" ht="15.75" customHeight="1" s="8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c r="AB803" s="4" t="n"/>
      <c r="AC803" s="4" t="n"/>
      <c r="AD803" s="4" t="n"/>
    </row>
    <row r="804" ht="15.75" customHeight="1" s="8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c r="AB804" s="4" t="n"/>
      <c r="AC804" s="4" t="n"/>
      <c r="AD804" s="4" t="n"/>
    </row>
    <row r="805" ht="15.75" customHeight="1" s="8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c r="AC805" s="4" t="n"/>
      <c r="AD805" s="4" t="n"/>
    </row>
    <row r="806" ht="15.75" customHeight="1" s="8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c r="AB806" s="4" t="n"/>
      <c r="AC806" s="4" t="n"/>
      <c r="AD806" s="4" t="n"/>
    </row>
    <row r="807" ht="15.75" customHeight="1" s="8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c r="AB807" s="4" t="n"/>
      <c r="AC807" s="4" t="n"/>
      <c r="AD807" s="4" t="n"/>
    </row>
    <row r="808" ht="15.75" customHeight="1" s="8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c r="AB808" s="4" t="n"/>
      <c r="AC808" s="4" t="n"/>
      <c r="AD808" s="4" t="n"/>
    </row>
    <row r="809" ht="15.75" customHeight="1" s="8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c r="AC809" s="4" t="n"/>
      <c r="AD809" s="4" t="n"/>
    </row>
    <row r="810" ht="15.75" customHeight="1" s="8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c r="AC810" s="4" t="n"/>
      <c r="AD810" s="4" t="n"/>
    </row>
    <row r="811" ht="15.75" customHeight="1" s="8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c r="AB811" s="4" t="n"/>
      <c r="AC811" s="4" t="n"/>
      <c r="AD811" s="4" t="n"/>
    </row>
    <row r="812" ht="15.75" customHeight="1" s="8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c r="AB812" s="4" t="n"/>
      <c r="AC812" s="4" t="n"/>
      <c r="AD812" s="4" t="n"/>
    </row>
    <row r="813" ht="15.75" customHeight="1" s="8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c r="AC813" s="4" t="n"/>
      <c r="AD813" s="4" t="n"/>
    </row>
    <row r="814" ht="15.75" customHeight="1" s="8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c r="AB814" s="4" t="n"/>
      <c r="AC814" s="4" t="n"/>
      <c r="AD814" s="4" t="n"/>
    </row>
    <row r="815" ht="15.75" customHeight="1" s="8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c r="AB815" s="4" t="n"/>
      <c r="AC815" s="4" t="n"/>
      <c r="AD815" s="4" t="n"/>
    </row>
    <row r="816" ht="15.75" customHeight="1" s="8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c r="AB816" s="4" t="n"/>
      <c r="AC816" s="4" t="n"/>
      <c r="AD816" s="4" t="n"/>
    </row>
    <row r="817" ht="15.75" customHeight="1" s="8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c r="AC817" s="4" t="n"/>
      <c r="AD817" s="4" t="n"/>
    </row>
    <row r="818" ht="15.75" customHeight="1" s="8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c r="AB818" s="4" t="n"/>
      <c r="AC818" s="4" t="n"/>
      <c r="AD818" s="4" t="n"/>
    </row>
    <row r="819" ht="15.75" customHeight="1" s="8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c r="AB819" s="4" t="n"/>
      <c r="AC819" s="4" t="n"/>
      <c r="AD819" s="4" t="n"/>
    </row>
    <row r="820" ht="15.75" customHeight="1" s="8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c r="AB820" s="4" t="n"/>
      <c r="AC820" s="4" t="n"/>
      <c r="AD820" s="4" t="n"/>
    </row>
    <row r="821" ht="15.75" customHeight="1" s="8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c r="AC821" s="4" t="n"/>
      <c r="AD821" s="4" t="n"/>
    </row>
    <row r="822" ht="15.75" customHeight="1" s="8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c r="AC822" s="4" t="n"/>
      <c r="AD822" s="4" t="n"/>
    </row>
    <row r="823" ht="15.75" customHeight="1" s="8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c r="AB823" s="4" t="n"/>
      <c r="AC823" s="4" t="n"/>
      <c r="AD823" s="4" t="n"/>
    </row>
    <row r="824" ht="15.75" customHeight="1" s="8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c r="AC824" s="4" t="n"/>
      <c r="AD824" s="4" t="n"/>
    </row>
    <row r="825" ht="15.75" customHeight="1" s="8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c r="AB825" s="4" t="n"/>
      <c r="AC825" s="4" t="n"/>
      <c r="AD825" s="4" t="n"/>
    </row>
    <row r="826" ht="15.75" customHeight="1" s="8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c r="AC826" s="4" t="n"/>
      <c r="AD826" s="4" t="n"/>
    </row>
    <row r="827" ht="15.75" customHeight="1" s="8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c r="AC827" s="4" t="n"/>
      <c r="AD827" s="4" t="n"/>
    </row>
    <row r="828" ht="15.75" customHeight="1" s="8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c r="AC828" s="4" t="n"/>
      <c r="AD828" s="4" t="n"/>
    </row>
    <row r="829" ht="15.75" customHeight="1" s="8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c r="AC829" s="4" t="n"/>
      <c r="AD829" s="4" t="n"/>
    </row>
    <row r="830" ht="15.75" customHeight="1" s="8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c r="AB830" s="4" t="n"/>
      <c r="AC830" s="4" t="n"/>
      <c r="AD830" s="4" t="n"/>
    </row>
    <row r="831" ht="15.75" customHeight="1" s="8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c r="AB831" s="4" t="n"/>
      <c r="AC831" s="4" t="n"/>
      <c r="AD831" s="4" t="n"/>
    </row>
    <row r="832" ht="15.75" customHeight="1" s="8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c r="AB832" s="4" t="n"/>
      <c r="AC832" s="4" t="n"/>
      <c r="AD832" s="4" t="n"/>
    </row>
    <row r="833" ht="15.75" customHeight="1" s="8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c r="AB833" s="4" t="n"/>
      <c r="AC833" s="4" t="n"/>
      <c r="AD833" s="4" t="n"/>
    </row>
    <row r="834" ht="15.75" customHeight="1" s="8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c r="AB834" s="4" t="n"/>
      <c r="AC834" s="4" t="n"/>
      <c r="AD834" s="4" t="n"/>
    </row>
    <row r="835" ht="15.75" customHeight="1" s="8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c r="AB835" s="4" t="n"/>
      <c r="AC835" s="4" t="n"/>
      <c r="AD835" s="4" t="n"/>
    </row>
    <row r="836" ht="15.75" customHeight="1" s="8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c r="AB836" s="4" t="n"/>
      <c r="AC836" s="4" t="n"/>
      <c r="AD836" s="4" t="n"/>
    </row>
    <row r="837" ht="15.75" customHeight="1" s="8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c r="AB837" s="4" t="n"/>
      <c r="AC837" s="4" t="n"/>
      <c r="AD837" s="4" t="n"/>
    </row>
    <row r="838" ht="15.75" customHeight="1" s="8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c r="AB838" s="4" t="n"/>
      <c r="AC838" s="4" t="n"/>
      <c r="AD838" s="4" t="n"/>
    </row>
    <row r="839" ht="15.75" customHeight="1" s="8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c r="AC839" s="4" t="n"/>
      <c r="AD839" s="4" t="n"/>
    </row>
    <row r="840" ht="15.75" customHeight="1" s="8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c r="AC840" s="4" t="n"/>
      <c r="AD840" s="4" t="n"/>
    </row>
    <row r="841" ht="15.75" customHeight="1" s="8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c r="AB841" s="4" t="n"/>
      <c r="AC841" s="4" t="n"/>
      <c r="AD841" s="4" t="n"/>
    </row>
    <row r="842" ht="15.75" customHeight="1" s="8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c r="AC842" s="4" t="n"/>
      <c r="AD842" s="4" t="n"/>
    </row>
    <row r="843" ht="15.75" customHeight="1" s="8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c r="AB843" s="4" t="n"/>
      <c r="AC843" s="4" t="n"/>
      <c r="AD843" s="4" t="n"/>
    </row>
    <row r="844" ht="15.75" customHeight="1" s="8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c r="AB844" s="4" t="n"/>
      <c r="AC844" s="4" t="n"/>
      <c r="AD844" s="4" t="n"/>
    </row>
    <row r="845" ht="15.75" customHeight="1" s="8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c r="AB845" s="4" t="n"/>
      <c r="AC845" s="4" t="n"/>
      <c r="AD845" s="4" t="n"/>
    </row>
    <row r="846" ht="15.75" customHeight="1" s="8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c r="AC846" s="4" t="n"/>
      <c r="AD846" s="4" t="n"/>
    </row>
    <row r="847" ht="15.75" customHeight="1" s="8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c r="AC847" s="4" t="n"/>
      <c r="AD847" s="4" t="n"/>
    </row>
    <row r="848" ht="15.75" customHeight="1" s="8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c r="AC848" s="4" t="n"/>
      <c r="AD848" s="4" t="n"/>
    </row>
    <row r="849" ht="15.75" customHeight="1" s="8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c r="AC849" s="4" t="n"/>
      <c r="AD849" s="4" t="n"/>
    </row>
    <row r="850" ht="15.75" customHeight="1" s="8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c r="AC850" s="4" t="n"/>
      <c r="AD850" s="4" t="n"/>
    </row>
    <row r="851" ht="15.75" customHeight="1" s="8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c r="AC851" s="4" t="n"/>
      <c r="AD851" s="4" t="n"/>
    </row>
    <row r="852" ht="15.75" customHeight="1" s="8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c r="AC852" s="4" t="n"/>
      <c r="AD852" s="4" t="n"/>
    </row>
    <row r="853" ht="15.75" customHeight="1" s="8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c r="AC853" s="4" t="n"/>
      <c r="AD853" s="4" t="n"/>
    </row>
    <row r="854" ht="15.75" customHeight="1" s="8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c r="AC854" s="4" t="n"/>
      <c r="AD854" s="4" t="n"/>
    </row>
    <row r="855" ht="15.75" customHeight="1" s="8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c r="AC855" s="4" t="n"/>
      <c r="AD855" s="4" t="n"/>
    </row>
    <row r="856" ht="15.75" customHeight="1" s="8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c r="AC856" s="4" t="n"/>
      <c r="AD856" s="4" t="n"/>
    </row>
    <row r="857" ht="15.75" customHeight="1" s="8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c r="AC857" s="4" t="n"/>
      <c r="AD857" s="4" t="n"/>
    </row>
    <row r="858" ht="15.75" customHeight="1" s="8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c r="AC858" s="4" t="n"/>
      <c r="AD858" s="4" t="n"/>
    </row>
    <row r="859" ht="15.75" customHeight="1" s="8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c r="AB859" s="4" t="n"/>
      <c r="AC859" s="4" t="n"/>
      <c r="AD859" s="4" t="n"/>
    </row>
    <row r="860" ht="15.75" customHeight="1" s="8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c r="AC860" s="4" t="n"/>
      <c r="AD860" s="4" t="n"/>
    </row>
    <row r="861" ht="15.75" customHeight="1" s="8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c r="AC861" s="4" t="n"/>
      <c r="AD861" s="4" t="n"/>
    </row>
    <row r="862" ht="15.75" customHeight="1" s="8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c r="AC862" s="4" t="n"/>
      <c r="AD862" s="4" t="n"/>
    </row>
    <row r="863" ht="15.75" customHeight="1" s="8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c r="AC863" s="4" t="n"/>
      <c r="AD863" s="4" t="n"/>
    </row>
    <row r="864" ht="15.75" customHeight="1" s="8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c r="AC864" s="4" t="n"/>
      <c r="AD864" s="4" t="n"/>
    </row>
    <row r="865" ht="15.75" customHeight="1" s="8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c r="AC865" s="4" t="n"/>
      <c r="AD865" s="4" t="n"/>
    </row>
    <row r="866" ht="15.75" customHeight="1" s="8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c r="AC866" s="4" t="n"/>
      <c r="AD866" s="4" t="n"/>
    </row>
    <row r="867" ht="15.75" customHeight="1" s="8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c r="AC867" s="4" t="n"/>
      <c r="AD867" s="4" t="n"/>
    </row>
    <row r="868" ht="15.75" customHeight="1" s="8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c r="AC868" s="4" t="n"/>
      <c r="AD868" s="4" t="n"/>
    </row>
    <row r="869" ht="15.75" customHeight="1" s="8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c r="AC869" s="4" t="n"/>
      <c r="AD869" s="4" t="n"/>
    </row>
    <row r="870" ht="15.75" customHeight="1" s="8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c r="AC870" s="4" t="n"/>
      <c r="AD870" s="4" t="n"/>
    </row>
    <row r="871" ht="15.75" customHeight="1" s="8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c r="AC871" s="4" t="n"/>
      <c r="AD871" s="4" t="n"/>
    </row>
    <row r="872" ht="15.75" customHeight="1" s="8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c r="AC872" s="4" t="n"/>
      <c r="AD872" s="4" t="n"/>
    </row>
    <row r="873" ht="15.75" customHeight="1" s="8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c r="AC873" s="4" t="n"/>
      <c r="AD873" s="4" t="n"/>
    </row>
    <row r="874" ht="15.75" customHeight="1" s="8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c r="AC874" s="4" t="n"/>
      <c r="AD874" s="4" t="n"/>
    </row>
    <row r="875" ht="15.75" customHeight="1" s="8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c r="AC875" s="4" t="n"/>
      <c r="AD875" s="4" t="n"/>
    </row>
    <row r="876" ht="15.75" customHeight="1" s="8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c r="AC876" s="4" t="n"/>
      <c r="AD876" s="4" t="n"/>
    </row>
    <row r="877" ht="15.75" customHeight="1" s="8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c r="AC877" s="4" t="n"/>
      <c r="AD877" s="4" t="n"/>
    </row>
    <row r="878" ht="15.75" customHeight="1" s="8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c r="AC878" s="4" t="n"/>
      <c r="AD878" s="4" t="n"/>
    </row>
    <row r="879" ht="15.75" customHeight="1" s="8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c r="AC879" s="4" t="n"/>
      <c r="AD879" s="4" t="n"/>
    </row>
    <row r="880" ht="15.75" customHeight="1" s="8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c r="AC880" s="4" t="n"/>
      <c r="AD880" s="4" t="n"/>
    </row>
    <row r="881" ht="15.75" customHeight="1" s="8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c r="AC881" s="4" t="n"/>
      <c r="AD881" s="4" t="n"/>
    </row>
    <row r="882" ht="15.75" customHeight="1" s="8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c r="AC882" s="4" t="n"/>
      <c r="AD882" s="4" t="n"/>
    </row>
    <row r="883" ht="15.75" customHeight="1" s="8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c r="AC883" s="4" t="n"/>
      <c r="AD883" s="4" t="n"/>
    </row>
    <row r="884" ht="15.75" customHeight="1" s="8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c r="AC884" s="4" t="n"/>
      <c r="AD884" s="4" t="n"/>
    </row>
    <row r="885" ht="15.75" customHeight="1" s="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c r="AC885" s="4" t="n"/>
      <c r="AD885" s="4" t="n"/>
    </row>
    <row r="886" ht="15.75" customHeight="1" s="8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c r="AB886" s="4" t="n"/>
      <c r="AC886" s="4" t="n"/>
      <c r="AD886" s="4" t="n"/>
    </row>
    <row r="887" ht="15.75" customHeight="1" s="8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c r="AB887" s="4" t="n"/>
      <c r="AC887" s="4" t="n"/>
      <c r="AD887" s="4" t="n"/>
    </row>
    <row r="888" ht="15.75" customHeight="1" s="8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c r="AC888" s="4" t="n"/>
      <c r="AD888" s="4" t="n"/>
    </row>
    <row r="889" ht="15.75" customHeight="1" s="8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c r="AB889" s="4" t="n"/>
      <c r="AC889" s="4" t="n"/>
      <c r="AD889" s="4" t="n"/>
    </row>
    <row r="890" ht="15.75" customHeight="1" s="8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c r="AC890" s="4" t="n"/>
      <c r="AD890" s="4" t="n"/>
    </row>
    <row r="891" ht="15.75" customHeight="1" s="8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c r="AB891" s="4" t="n"/>
      <c r="AC891" s="4" t="n"/>
      <c r="AD891" s="4" t="n"/>
    </row>
    <row r="892" ht="15.75" customHeight="1" s="8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c r="AC892" s="4" t="n"/>
      <c r="AD892" s="4" t="n"/>
    </row>
    <row r="893" ht="15.75" customHeight="1" s="8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c r="AC893" s="4" t="n"/>
      <c r="AD893" s="4" t="n"/>
    </row>
    <row r="894" ht="15.75" customHeight="1" s="8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c r="AB894" s="4" t="n"/>
      <c r="AC894" s="4" t="n"/>
      <c r="AD894" s="4" t="n"/>
    </row>
    <row r="895" ht="15.75" customHeight="1" s="8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c r="AB895" s="4" t="n"/>
      <c r="AC895" s="4" t="n"/>
      <c r="AD895" s="4" t="n"/>
    </row>
    <row r="896" ht="15.75" customHeight="1" s="8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c r="AB896" s="4" t="n"/>
      <c r="AC896" s="4" t="n"/>
      <c r="AD896" s="4" t="n"/>
    </row>
    <row r="897" ht="15.75" customHeight="1" s="8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c r="AB897" s="4" t="n"/>
      <c r="AC897" s="4" t="n"/>
      <c r="AD897" s="4" t="n"/>
    </row>
    <row r="898" ht="15.75" customHeight="1" s="8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c r="AB898" s="4" t="n"/>
      <c r="AC898" s="4" t="n"/>
      <c r="AD898" s="4" t="n"/>
    </row>
    <row r="899" ht="15.75" customHeight="1" s="8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c r="AB899" s="4" t="n"/>
      <c r="AC899" s="4" t="n"/>
      <c r="AD899" s="4" t="n"/>
    </row>
    <row r="900" ht="15.75" customHeight="1" s="8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c r="AC900" s="4" t="n"/>
      <c r="AD900" s="4" t="n"/>
    </row>
    <row r="901" ht="15.75" customHeight="1" s="8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c r="AC901" s="4" t="n"/>
      <c r="AD901" s="4" t="n"/>
    </row>
    <row r="902" ht="15.75" customHeight="1" s="8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c r="AC902" s="4" t="n"/>
      <c r="AD902" s="4" t="n"/>
    </row>
    <row r="903" ht="15.75" customHeight="1" s="8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c r="AC903" s="4" t="n"/>
      <c r="AD903" s="4" t="n"/>
    </row>
    <row r="904" ht="15.75" customHeight="1" s="8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c r="AC904" s="4" t="n"/>
      <c r="AD904" s="4" t="n"/>
    </row>
    <row r="905" ht="15.75" customHeight="1" s="8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c r="AB905" s="4" t="n"/>
      <c r="AC905" s="4" t="n"/>
      <c r="AD905" s="4" t="n"/>
    </row>
    <row r="906" ht="15.75" customHeight="1" s="8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c r="AB906" s="4" t="n"/>
      <c r="AC906" s="4" t="n"/>
      <c r="AD906" s="4" t="n"/>
    </row>
    <row r="907" ht="15.75" customHeight="1" s="8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c r="AB907" s="4" t="n"/>
      <c r="AC907" s="4" t="n"/>
      <c r="AD907" s="4" t="n"/>
    </row>
    <row r="908" ht="15.75" customHeight="1" s="8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c r="AC908" s="4" t="n"/>
      <c r="AD908" s="4" t="n"/>
    </row>
    <row r="909" ht="15.75" customHeight="1" s="8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c r="AC909" s="4" t="n"/>
      <c r="AD909" s="4" t="n"/>
    </row>
    <row r="910" ht="15.75" customHeight="1" s="8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c r="AC910" s="4" t="n"/>
      <c r="AD910" s="4" t="n"/>
    </row>
    <row r="911" ht="15.75" customHeight="1" s="8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c r="AB911" s="4" t="n"/>
      <c r="AC911" s="4" t="n"/>
      <c r="AD911" s="4" t="n"/>
    </row>
    <row r="912" ht="15.75" customHeight="1" s="8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c r="AC912" s="4" t="n"/>
      <c r="AD912" s="4" t="n"/>
    </row>
    <row r="913" ht="15.75" customHeight="1" s="8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c r="AC913" s="4" t="n"/>
      <c r="AD913" s="4" t="n"/>
    </row>
    <row r="914" ht="15.75" customHeight="1" s="8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c r="AC914" s="4" t="n"/>
      <c r="AD914" s="4" t="n"/>
    </row>
    <row r="915" ht="15.75" customHeight="1" s="8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c r="AB915" s="4" t="n"/>
      <c r="AC915" s="4" t="n"/>
      <c r="AD915" s="4" t="n"/>
    </row>
    <row r="916" ht="15.75" customHeight="1" s="8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c r="AC916" s="4" t="n"/>
      <c r="AD916" s="4" t="n"/>
    </row>
    <row r="917" ht="15.75" customHeight="1" s="8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c r="AC917" s="4" t="n"/>
      <c r="AD917" s="4" t="n"/>
    </row>
    <row r="918" ht="15.75" customHeight="1" s="8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c r="AB918" s="4" t="n"/>
      <c r="AC918" s="4" t="n"/>
      <c r="AD918" s="4" t="n"/>
    </row>
    <row r="919" ht="15.75" customHeight="1" s="8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c r="AC919" s="4" t="n"/>
      <c r="AD919" s="4" t="n"/>
    </row>
    <row r="920" ht="15.75" customHeight="1" s="8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c r="AB920" s="4" t="n"/>
      <c r="AC920" s="4" t="n"/>
      <c r="AD920" s="4" t="n"/>
    </row>
    <row r="921" ht="15.75" customHeight="1" s="8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c r="AB921" s="4" t="n"/>
      <c r="AC921" s="4" t="n"/>
      <c r="AD921" s="4" t="n"/>
    </row>
    <row r="922" ht="15.75" customHeight="1" s="8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c r="AB922" s="4" t="n"/>
      <c r="AC922" s="4" t="n"/>
      <c r="AD922" s="4" t="n"/>
    </row>
    <row r="923" ht="15.75" customHeight="1" s="8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c r="AB923" s="4" t="n"/>
      <c r="AC923" s="4" t="n"/>
      <c r="AD923" s="4" t="n"/>
    </row>
    <row r="924" ht="15.75" customHeight="1" s="8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c r="AC924" s="4" t="n"/>
      <c r="AD924" s="4" t="n"/>
    </row>
    <row r="925" ht="15.75" customHeight="1" s="8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c r="AC925" s="4" t="n"/>
      <c r="AD925" s="4" t="n"/>
    </row>
    <row r="926" ht="15.75" customHeight="1" s="8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c r="AC926" s="4" t="n"/>
      <c r="AD926" s="4" t="n"/>
    </row>
    <row r="927" ht="15.75" customHeight="1" s="8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c r="AC927" s="4" t="n"/>
      <c r="AD927" s="4" t="n"/>
    </row>
    <row r="928" ht="15.75" customHeight="1" s="8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c r="AC928" s="4" t="n"/>
      <c r="AD928" s="4" t="n"/>
    </row>
    <row r="929" ht="15.75" customHeight="1" s="8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c r="AB929" s="4" t="n"/>
      <c r="AC929" s="4" t="n"/>
      <c r="AD929" s="4" t="n"/>
    </row>
    <row r="930" ht="15.75" customHeight="1" s="8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c r="AC930" s="4" t="n"/>
      <c r="AD930" s="4" t="n"/>
    </row>
    <row r="931" ht="15.75" customHeight="1" s="8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c r="AC931" s="4" t="n"/>
      <c r="AD931" s="4" t="n"/>
    </row>
    <row r="932" ht="15.75" customHeight="1" s="8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c r="AC932" s="4" t="n"/>
      <c r="AD932" s="4" t="n"/>
    </row>
    <row r="933" ht="15.75" customHeight="1" s="8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c r="AC933" s="4" t="n"/>
      <c r="AD933" s="4" t="n"/>
    </row>
    <row r="934" ht="15.75" customHeight="1" s="8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c r="AC934" s="4" t="n"/>
      <c r="AD934" s="4" t="n"/>
    </row>
    <row r="935" ht="15.75" customHeight="1" s="8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c r="AC935" s="4" t="n"/>
      <c r="AD935" s="4" t="n"/>
    </row>
    <row r="936" ht="15.75" customHeight="1" s="8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c r="AB936" s="4" t="n"/>
      <c r="AC936" s="4" t="n"/>
      <c r="AD936" s="4" t="n"/>
    </row>
    <row r="937" ht="15.75" customHeight="1" s="8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c r="AB937" s="4" t="n"/>
      <c r="AC937" s="4" t="n"/>
      <c r="AD937" s="4" t="n"/>
    </row>
    <row r="938" ht="15.75" customHeight="1" s="8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c r="AC938" s="4" t="n"/>
      <c r="AD938" s="4" t="n"/>
    </row>
    <row r="939" ht="15.75" customHeight="1" s="8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c r="AB939" s="4" t="n"/>
      <c r="AC939" s="4" t="n"/>
      <c r="AD939" s="4" t="n"/>
    </row>
    <row r="940" ht="15.75" customHeight="1" s="8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c r="AC940" s="4" t="n"/>
      <c r="AD940" s="4" t="n"/>
    </row>
    <row r="941" ht="15.75" customHeight="1" s="8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c r="AC941" s="4" t="n"/>
      <c r="AD941" s="4" t="n"/>
    </row>
    <row r="942" ht="15.75" customHeight="1" s="8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c r="AB942" s="4" t="n"/>
      <c r="AC942" s="4" t="n"/>
      <c r="AD942" s="4" t="n"/>
    </row>
    <row r="943" ht="15.75" customHeight="1" s="8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c r="AC943" s="4" t="n"/>
      <c r="AD943" s="4" t="n"/>
    </row>
    <row r="944" ht="15.75" customHeight="1" s="8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c r="AB944" s="4" t="n"/>
      <c r="AC944" s="4" t="n"/>
      <c r="AD944" s="4" t="n"/>
    </row>
    <row r="945" ht="15.75" customHeight="1" s="8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c r="AB945" s="4" t="n"/>
      <c r="AC945" s="4" t="n"/>
      <c r="AD945" s="4" t="n"/>
    </row>
    <row r="946" ht="15.75" customHeight="1" s="8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c r="AC946" s="4" t="n"/>
      <c r="AD946" s="4" t="n"/>
    </row>
    <row r="947" ht="15.75" customHeight="1" s="8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c r="AB947" s="4" t="n"/>
      <c r="AC947" s="4" t="n"/>
      <c r="AD947" s="4" t="n"/>
    </row>
    <row r="948" ht="15.75" customHeight="1" s="8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c r="AB948" s="4" t="n"/>
      <c r="AC948" s="4" t="n"/>
      <c r="AD948" s="4" t="n"/>
    </row>
    <row r="949" ht="15.75" customHeight="1" s="8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c r="AB949" s="4" t="n"/>
      <c r="AC949" s="4" t="n"/>
      <c r="AD949" s="4" t="n"/>
    </row>
    <row r="950" ht="15.75" customHeight="1" s="8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c r="AB950" s="4" t="n"/>
      <c r="AC950" s="4" t="n"/>
      <c r="AD950" s="4" t="n"/>
    </row>
    <row r="951" ht="15.75" customHeight="1" s="8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c r="AB951" s="4" t="n"/>
      <c r="AC951" s="4" t="n"/>
      <c r="AD951" s="4" t="n"/>
    </row>
    <row r="952" ht="15.75" customHeight="1" s="8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c r="AB952" s="4" t="n"/>
      <c r="AC952" s="4" t="n"/>
      <c r="AD952" s="4" t="n"/>
    </row>
    <row r="953" ht="15.75" customHeight="1" s="8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c r="AB953" s="4" t="n"/>
      <c r="AC953" s="4" t="n"/>
      <c r="AD953" s="4" t="n"/>
    </row>
    <row r="954" ht="15.75" customHeight="1" s="8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c r="AB954" s="4" t="n"/>
      <c r="AC954" s="4" t="n"/>
      <c r="AD954" s="4" t="n"/>
    </row>
    <row r="955" ht="15.75" customHeight="1" s="8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c r="AB955" s="4" t="n"/>
      <c r="AC955" s="4" t="n"/>
      <c r="AD955" s="4" t="n"/>
    </row>
    <row r="956" ht="15.75" customHeight="1" s="8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c r="AB956" s="4" t="n"/>
      <c r="AC956" s="4" t="n"/>
      <c r="AD956" s="4" t="n"/>
    </row>
    <row r="957" ht="15.75" customHeight="1" s="8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c r="AB957" s="4" t="n"/>
      <c r="AC957" s="4" t="n"/>
      <c r="AD957" s="4" t="n"/>
    </row>
    <row r="958" ht="15.75" customHeight="1" s="8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c r="AB958" s="4" t="n"/>
      <c r="AC958" s="4" t="n"/>
      <c r="AD958" s="4" t="n"/>
    </row>
    <row r="959" ht="15.75" customHeight="1" s="8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c r="AB959" s="4" t="n"/>
      <c r="AC959" s="4" t="n"/>
      <c r="AD959" s="4" t="n"/>
    </row>
    <row r="960" ht="15.75" customHeight="1" s="8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c r="AB960" s="4" t="n"/>
      <c r="AC960" s="4" t="n"/>
      <c r="AD960" s="4" t="n"/>
    </row>
    <row r="961" ht="15.75" customHeight="1" s="8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c r="AB961" s="4" t="n"/>
      <c r="AC961" s="4" t="n"/>
      <c r="AD961" s="4" t="n"/>
    </row>
    <row r="962" ht="15.75" customHeight="1" s="8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c r="AC962" s="4" t="n"/>
      <c r="AD962" s="4" t="n"/>
    </row>
    <row r="963" ht="15.75" customHeight="1" s="8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c r="AC963" s="4" t="n"/>
      <c r="AD963" s="4" t="n"/>
    </row>
    <row r="964" ht="15.75" customHeight="1" s="8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c r="AB964" s="4" t="n"/>
      <c r="AC964" s="4" t="n"/>
      <c r="AD964" s="4" t="n"/>
    </row>
    <row r="965" ht="15.75" customHeight="1" s="8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c r="AB965" s="4" t="n"/>
      <c r="AC965" s="4" t="n"/>
      <c r="AD965" s="4" t="n"/>
    </row>
    <row r="966" ht="15.75" customHeight="1" s="8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c r="AC966" s="4" t="n"/>
      <c r="AD966" s="4" t="n"/>
    </row>
    <row r="967" ht="15.75" customHeight="1" s="8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c r="AC967" s="4" t="n"/>
      <c r="AD967" s="4" t="n"/>
    </row>
    <row r="968" ht="15.75" customHeight="1" s="8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c r="AC968" s="4" t="n"/>
      <c r="AD968" s="4" t="n"/>
    </row>
    <row r="969" ht="15.75" customHeight="1" s="8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c r="AC969" s="4" t="n"/>
      <c r="AD969" s="4" t="n"/>
    </row>
    <row r="970" ht="15.75" customHeight="1" s="8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c r="AB970" s="4" t="n"/>
      <c r="AC970" s="4" t="n"/>
      <c r="AD970" s="4" t="n"/>
    </row>
    <row r="971" ht="15.75" customHeight="1" s="8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c r="AB971" s="4" t="n"/>
      <c r="AC971" s="4" t="n"/>
      <c r="AD971" s="4" t="n"/>
    </row>
    <row r="972" ht="15.75" customHeight="1" s="8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c r="AC972" s="4" t="n"/>
      <c r="AD972" s="4" t="n"/>
    </row>
    <row r="973" ht="15.75" customHeight="1" s="8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c r="AC973" s="4" t="n"/>
      <c r="AD973" s="4" t="n"/>
    </row>
    <row r="974" ht="15.75" customHeight="1" s="8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c r="AC974" s="4" t="n"/>
      <c r="AD974" s="4" t="n"/>
    </row>
    <row r="975" ht="15.75" customHeight="1" s="8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c r="AC975" s="4" t="n"/>
      <c r="AD975" s="4" t="n"/>
    </row>
    <row r="976" ht="15.75" customHeight="1" s="8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c r="AB976" s="4" t="n"/>
      <c r="AC976" s="4" t="n"/>
      <c r="AD976" s="4" t="n"/>
    </row>
    <row r="977" ht="15.75" customHeight="1" s="8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c r="AB977" s="4" t="n"/>
      <c r="AC977" s="4" t="n"/>
      <c r="AD977" s="4" t="n"/>
    </row>
    <row r="978" ht="15.75" customHeight="1" s="8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c r="AC978" s="4" t="n"/>
      <c r="AD978" s="4" t="n"/>
    </row>
    <row r="979" ht="15.75" customHeight="1" s="8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c r="AC979" s="4" t="n"/>
      <c r="AD979" s="4" t="n"/>
    </row>
    <row r="980" ht="15.75" customHeight="1" s="8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c r="AC980" s="4" t="n"/>
      <c r="AD980" s="4" t="n"/>
    </row>
    <row r="981" ht="15.75" customHeight="1" s="8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c r="AC981" s="4" t="n"/>
      <c r="AD981" s="4" t="n"/>
    </row>
    <row r="982" ht="15.75" customHeight="1" s="8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c r="AB982" s="4" t="n"/>
      <c r="AC982" s="4" t="n"/>
      <c r="AD982" s="4" t="n"/>
    </row>
    <row r="983" ht="15.75" customHeight="1" s="8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c r="AB983" s="4" t="n"/>
      <c r="AC983" s="4" t="n"/>
      <c r="AD983" s="4" t="n"/>
    </row>
    <row r="984" ht="15.75" customHeight="1" s="8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c r="AB984" s="4" t="n"/>
      <c r="AC984" s="4" t="n"/>
      <c r="AD984" s="4" t="n"/>
    </row>
    <row r="985" ht="15.75" customHeight="1" s="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c r="AC985" s="4" t="n"/>
      <c r="AD985" s="4" t="n"/>
    </row>
    <row r="986" ht="15.75" customHeight="1" s="8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c r="AC986" s="4" t="n"/>
      <c r="AD986" s="4" t="n"/>
    </row>
    <row r="987" ht="15.75" customHeight="1" s="8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c r="AB987" s="4" t="n"/>
      <c r="AC987" s="4" t="n"/>
      <c r="AD987" s="4" t="n"/>
    </row>
    <row r="988" ht="15.75" customHeight="1" s="8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c r="AB988" s="4" t="n"/>
      <c r="AC988" s="4" t="n"/>
      <c r="AD988" s="4" t="n"/>
    </row>
    <row r="989" ht="15.75" customHeight="1" s="8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c r="AC989" s="4" t="n"/>
      <c r="AD989" s="4" t="n"/>
    </row>
    <row r="990" ht="15.75" customHeight="1" s="8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c r="AC990" s="4" t="n"/>
      <c r="AD990" s="4" t="n"/>
    </row>
    <row r="991" ht="15.75" customHeight="1" s="8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c r="AB991" s="4" t="n"/>
      <c r="AC991" s="4" t="n"/>
      <c r="AD991" s="4" t="n"/>
    </row>
    <row r="992" ht="15.75" customHeight="1" s="8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c r="AB992" s="4" t="n"/>
      <c r="AC992" s="4" t="n"/>
      <c r="AD992" s="4" t="n"/>
    </row>
    <row r="993" ht="15.75" customHeight="1" s="8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c r="AB993" s="4" t="n"/>
      <c r="AC993" s="4" t="n"/>
      <c r="AD993" s="4" t="n"/>
    </row>
    <row r="994" ht="15.75" customHeight="1" s="8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c r="AC994" s="4" t="n"/>
      <c r="AD994" s="4" t="n"/>
    </row>
    <row r="995" ht="15.75" customHeight="1" s="8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c r="AC995" s="4" t="n"/>
      <c r="AD995" s="4" t="n"/>
    </row>
    <row r="996" ht="15.75" customHeight="1" s="8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c r="AC996" s="4" t="n"/>
      <c r="AD996" s="4" t="n"/>
    </row>
    <row r="997" ht="15.75" customHeight="1" s="8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c r="AC997" s="4" t="n"/>
      <c r="AD997" s="4" t="n"/>
    </row>
    <row r="998" ht="15.75" customHeight="1" s="8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c r="AC998" s="4" t="n"/>
      <c r="AD998" s="4" t="n"/>
    </row>
    <row r="999" ht="15.75" customHeight="1" s="8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c r="AC999" s="4" t="n"/>
      <c r="AD999" s="4" t="n"/>
    </row>
    <row r="1000" ht="15.75" customHeight="1" s="8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c r="AB1000" s="4" t="n"/>
      <c r="AC1000" s="4" t="n"/>
      <c r="AD1000" s="4" t="n"/>
    </row>
    <row r="1001" ht="15.75" customHeight="1" s="85">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c r="AA1001" s="4" t="n"/>
      <c r="AB1001" s="4" t="n"/>
      <c r="AC1001" s="4" t="n"/>
      <c r="AD1001" s="4" t="n"/>
    </row>
  </sheetData>
  <mergeCells count="10">
    <mergeCell ref="U1:X1"/>
    <mergeCell ref="O1:Q1"/>
    <mergeCell ref="A1:C1"/>
    <mergeCell ref="AO1:AQ1"/>
    <mergeCell ref="AE1:AL1"/>
    <mergeCell ref="J1:N1"/>
    <mergeCell ref="R1:T1"/>
    <mergeCell ref="Y1:AC1"/>
    <mergeCell ref="D1:F1"/>
    <mergeCell ref="G1:I1"/>
  </mergeCell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G1000"/>
  <sheetViews>
    <sheetView showGridLines="0" workbookViewId="0">
      <selection activeCell="A1" sqref="A1"/>
    </sheetView>
  </sheetViews>
  <sheetFormatPr baseColWidth="8" defaultColWidth="14.43" defaultRowHeight="15" customHeight="1"/>
  <cols>
    <col width="36" customWidth="1" style="85" min="1" max="1"/>
    <col width="16" customWidth="1" style="85" min="2" max="7"/>
    <col width="8.710000000000001" customWidth="1" style="85" min="8" max="26"/>
  </cols>
  <sheetData>
    <row r="1" ht="24" customHeight="1" s="85">
      <c r="A1" s="86" t="inlineStr">
        <is>
          <t xml:space="preserve">  VetFinance  |  Annual Summary</t>
        </is>
      </c>
    </row>
    <row r="2" ht="6" customHeight="1" s="85">
      <c r="A2" s="4" t="n"/>
      <c r="B2" s="4" t="n"/>
      <c r="C2" s="4" t="n"/>
      <c r="D2" s="4" t="n"/>
      <c r="E2" s="4" t="n"/>
      <c r="F2" s="4" t="n"/>
      <c r="G2" s="4" t="n"/>
    </row>
    <row r="3" ht="16.5" customHeight="1" s="85">
      <c r="A3" s="27" t="inlineStr">
        <is>
          <t xml:space="preserve">  Period</t>
        </is>
      </c>
    </row>
    <row r="4" ht="27.75" customHeight="1" s="85">
      <c r="A4" s="13" t="inlineStr">
        <is>
          <t>Metric</t>
        </is>
      </c>
      <c r="B4" s="19" t="inlineStr">
        <is>
          <t>Year 1</t>
        </is>
      </c>
      <c r="C4" s="19" t="inlineStr">
        <is>
          <t>Year 2</t>
        </is>
      </c>
      <c r="D4" s="19" t="inlineStr">
        <is>
          <t>Year 3</t>
        </is>
      </c>
      <c r="E4" s="19" t="inlineStr">
        <is>
          <t>Year 4</t>
        </is>
      </c>
      <c r="F4" s="19" t="inlineStr">
        <is>
          <t>Year 5</t>
        </is>
      </c>
      <c r="G4" s="19" t="inlineStr">
        <is>
          <t>Total / Peak</t>
        </is>
      </c>
    </row>
    <row r="5" ht="16.5" customHeight="1" s="85">
      <c r="A5" s="27" t="inlineStr">
        <is>
          <t xml:space="preserve">  PRACTICE METRICS</t>
        </is>
      </c>
    </row>
    <row r="6" ht="15.75" customHeight="1" s="85">
      <c r="A6" s="7" t="inlineStr">
        <is>
          <t>Practices at year end</t>
        </is>
      </c>
      <c r="B6" s="22">
        <f>'Monthly Model'!F15</f>
        <v/>
      </c>
      <c r="C6" s="22">
        <f>'Monthly Model'!F27</f>
        <v/>
      </c>
      <c r="D6" s="22">
        <f>'Monthly Model'!F39</f>
        <v/>
      </c>
      <c r="E6" s="22">
        <f>'Monthly Model'!F51</f>
        <v/>
      </c>
      <c r="F6" s="22">
        <f>'Monthly Model'!F63</f>
        <v/>
      </c>
      <c r="G6" s="26">
        <f>F6</f>
        <v/>
      </c>
    </row>
    <row r="7" ht="15.75" customHeight="1" s="85">
      <c r="A7" s="7" t="inlineStr">
        <is>
          <t>New practices added</t>
        </is>
      </c>
      <c r="B7" s="34">
        <f>SUMPRODUCT(('Monthly Model'!D4:D63)*('Monthly Model'!C4:C63=1))</f>
        <v/>
      </c>
      <c r="C7" s="34">
        <f>SUMPRODUCT(('Monthly Model'!D4:D63)*('Monthly Model'!C4:C63=2))</f>
        <v/>
      </c>
      <c r="D7" s="34">
        <f>SUMPRODUCT(('Monthly Model'!D4:D63)*('Monthly Model'!C4:C63=3))</f>
        <v/>
      </c>
      <c r="E7" s="34">
        <f>SUMPRODUCT(('Monthly Model'!D4:D63)*('Monthly Model'!C4:C63=4))</f>
        <v/>
      </c>
      <c r="F7" s="34">
        <f>SUMPRODUCT(('Monthly Model'!D4:D63)*('Monthly Model'!C4:C63=5))</f>
        <v/>
      </c>
      <c r="G7" s="42">
        <f>SUM(B7:F7)</f>
        <v/>
      </c>
    </row>
    <row r="8" ht="7.5" customHeight="1" s="85">
      <c r="A8" s="4" t="n"/>
      <c r="B8" s="4" t="n"/>
      <c r="C8" s="4" t="n"/>
      <c r="D8" s="4" t="n"/>
      <c r="E8" s="4" t="n"/>
      <c r="F8" s="4" t="n"/>
      <c r="G8" s="4" t="n"/>
    </row>
    <row r="9" ht="16.5" customHeight="1" s="85">
      <c r="A9" s="27" t="inlineStr">
        <is>
          <t xml:space="preserve">  LOAN VOLUME</t>
        </is>
      </c>
    </row>
    <row r="10" ht="15.75" customHeight="1" s="85">
      <c r="A10" s="7" t="inlineStr">
        <is>
          <t>Total originations ($)</t>
        </is>
      </c>
      <c r="B10" s="44">
        <f>SUMPRODUCT(('Monthly Model'!I4:I63)*('Monthly Model'!C4:C63=1))</f>
        <v/>
      </c>
      <c r="C10" s="44">
        <f>SUMPRODUCT(('Monthly Model'!I4:I63)*('Monthly Model'!C4:C63=2))</f>
        <v/>
      </c>
      <c r="D10" s="44">
        <f>SUMPRODUCT(('Monthly Model'!I4:I63)*('Monthly Model'!C4:C63=3))</f>
        <v/>
      </c>
      <c r="E10" s="44">
        <f>SUMPRODUCT(('Monthly Model'!I4:I63)*('Monthly Model'!C4:C63=4))</f>
        <v/>
      </c>
      <c r="F10" s="44">
        <f>SUMPRODUCT(('Monthly Model'!I4:I63)*('Monthly Model'!C4:C63=5))</f>
        <v/>
      </c>
      <c r="G10" s="48">
        <f>SUM(B10:F10)</f>
        <v/>
      </c>
    </row>
    <row r="11" ht="15.75" customHeight="1" s="85">
      <c r="A11" s="7" t="inlineStr">
        <is>
          <t>Total loans funded (count)</t>
        </is>
      </c>
      <c r="B11" s="34">
        <f>SUMPRODUCT(('Monthly Model'!H4:H63)*('Monthly Model'!C4:C63=1))</f>
        <v/>
      </c>
      <c r="C11" s="34">
        <f>SUMPRODUCT(('Monthly Model'!H4:H63)*('Monthly Model'!C4:C63=2))</f>
        <v/>
      </c>
      <c r="D11" s="34">
        <f>SUMPRODUCT(('Monthly Model'!H4:H63)*('Monthly Model'!C4:C63=3))</f>
        <v/>
      </c>
      <c r="E11" s="34">
        <f>SUMPRODUCT(('Monthly Model'!H4:H63)*('Monthly Model'!C4:C63=4))</f>
        <v/>
      </c>
      <c r="F11" s="34">
        <f>SUMPRODUCT(('Monthly Model'!H4:H63)*('Monthly Model'!C4:C63=5))</f>
        <v/>
      </c>
      <c r="G11" s="42">
        <f>SUM(B11:F11)</f>
        <v/>
      </c>
    </row>
    <row r="12" ht="15.75" customHeight="1" s="85">
      <c r="A12" s="7" t="inlineStr">
        <is>
          <t>Peak monthly originations ($)</t>
        </is>
      </c>
      <c r="B12" s="44">
        <f>MAX('Monthly Model'!I4:I15)</f>
        <v/>
      </c>
      <c r="C12" s="44">
        <f>MAX('Monthly Model'!I16:I27)</f>
        <v/>
      </c>
      <c r="D12" s="44">
        <f>MAX('Monthly Model'!I28:I39)</f>
        <v/>
      </c>
      <c r="E12" s="44">
        <f>MAX('Monthly Model'!I40:I51)</f>
        <v/>
      </c>
      <c r="F12" s="44">
        <f>MAX('Monthly Model'!I52:I63)</f>
        <v/>
      </c>
      <c r="G12" s="48">
        <f>MAX(B12:F12)</f>
        <v/>
      </c>
    </row>
    <row r="13" ht="7.5" customHeight="1" s="85">
      <c r="A13" s="4" t="n"/>
      <c r="B13" s="4" t="n"/>
      <c r="C13" s="4" t="n"/>
      <c r="D13" s="4" t="n"/>
      <c r="E13" s="4" t="n"/>
      <c r="F13" s="4" t="n"/>
      <c r="G13" s="4" t="n"/>
    </row>
    <row r="14" ht="16.5" customHeight="1" s="85">
      <c r="A14" s="27" t="inlineStr">
        <is>
          <t xml:space="preserve">  PORTFOLIO</t>
        </is>
      </c>
    </row>
    <row r="15" ht="15.75" customHeight="1" s="85">
      <c r="A15" s="7" t="inlineStr">
        <is>
          <t>End-of-year portfolio balance ($)</t>
        </is>
      </c>
      <c r="B15" s="61">
        <f>'Monthly Model'!M15</f>
        <v/>
      </c>
      <c r="C15" s="61">
        <f>'Monthly Model'!M27</f>
        <v/>
      </c>
      <c r="D15" s="61">
        <f>'Monthly Model'!M39</f>
        <v/>
      </c>
      <c r="E15" s="61">
        <f>'Monthly Model'!M51</f>
        <v/>
      </c>
      <c r="F15" s="61">
        <f>'Monthly Model'!M63</f>
        <v/>
      </c>
      <c r="G15" s="65">
        <f>F15</f>
        <v/>
      </c>
    </row>
    <row r="16" ht="15.75" customHeight="1" s="85">
      <c r="A16" s="7" t="inlineStr">
        <is>
          <t>Average portfolio balance ($)</t>
        </is>
      </c>
      <c r="B16" s="44">
        <f>AVERAGEIF('Monthly Model'!C4:C63,1,'Monthly Model'!N4:N63)</f>
        <v/>
      </c>
      <c r="C16" s="44">
        <f>AVERAGEIF('Monthly Model'!C4:C63,2,'Monthly Model'!N4:N63)</f>
        <v/>
      </c>
      <c r="D16" s="44">
        <f>AVERAGEIF('Monthly Model'!C4:C63,3,'Monthly Model'!N4:N63)</f>
        <v/>
      </c>
      <c r="E16" s="44">
        <f>AVERAGEIF('Monthly Model'!C4:C63,4,'Monthly Model'!N4:N63)</f>
        <v/>
      </c>
      <c r="F16" s="44">
        <f>AVERAGEIF('Monthly Model'!C4:C63,5,'Monthly Model'!N4:N63)</f>
        <v/>
      </c>
      <c r="G16" s="48">
        <f>F16</f>
        <v/>
      </c>
    </row>
    <row r="17" ht="7.5" customHeight="1" s="85">
      <c r="A17" s="4" t="n"/>
      <c r="B17" s="4" t="n"/>
      <c r="C17" s="4" t="n"/>
      <c r="D17" s="4" t="n"/>
      <c r="E17" s="4" t="n"/>
      <c r="F17" s="4" t="n"/>
      <c r="G17" s="4" t="n"/>
    </row>
    <row r="18" ht="16.5" customHeight="1" s="85">
      <c r="A18" s="27" t="inlineStr">
        <is>
          <t xml:space="preserve">  PROFIT &amp; LOSS</t>
        </is>
      </c>
    </row>
    <row r="19" ht="15.75" customHeight="1" s="85">
      <c r="A19" s="7" t="inlineStr">
        <is>
          <t>Total revenue ($)</t>
        </is>
      </c>
      <c r="B19" s="61">
        <f>SUMPRODUCT(('Monthly Model'!Q4:Q63)*('Monthly Model'!C4:C63=1))</f>
        <v/>
      </c>
      <c r="C19" s="61">
        <f>SUMPRODUCT(('Monthly Model'!Q4:Q63)*('Monthly Model'!C4:C63=2))</f>
        <v/>
      </c>
      <c r="D19" s="61">
        <f>SUMPRODUCT(('Monthly Model'!Q4:Q63)*('Monthly Model'!C4:C63=3))</f>
        <v/>
      </c>
      <c r="E19" s="61">
        <f>SUMPRODUCT(('Monthly Model'!Q4:Q63)*('Monthly Model'!C4:C63=4))</f>
        <v/>
      </c>
      <c r="F19" s="61">
        <f>SUMPRODUCT(('Monthly Model'!Q4:Q63)*('Monthly Model'!C4:C63=5))</f>
        <v/>
      </c>
      <c r="G19" s="65">
        <f>SUM(B19:F19)</f>
        <v/>
      </c>
    </row>
    <row r="20" ht="15.75" customHeight="1" s="85">
      <c r="A20" s="7" t="inlineStr">
        <is>
          <t xml:space="preserve">  Interest income ($)</t>
        </is>
      </c>
      <c r="B20" s="44">
        <f>SUMPRODUCT(('Monthly Model'!O4:O63)*('Monthly Model'!C4:C63=1))</f>
        <v/>
      </c>
      <c r="C20" s="44">
        <f>SUMPRODUCT(('Monthly Model'!O4:O63)*('Monthly Model'!C4:C63=2))</f>
        <v/>
      </c>
      <c r="D20" s="44">
        <f>SUMPRODUCT(('Monthly Model'!O4:O63)*('Monthly Model'!C4:C63=3))</f>
        <v/>
      </c>
      <c r="E20" s="44">
        <f>SUMPRODUCT(('Monthly Model'!O4:O63)*('Monthly Model'!C4:C63=4))</f>
        <v/>
      </c>
      <c r="F20" s="44">
        <f>SUMPRODUCT(('Monthly Model'!O4:O63)*('Monthly Model'!C4:C63=5))</f>
        <v/>
      </c>
      <c r="G20" s="48">
        <f>SUM(B20:F20)</f>
        <v/>
      </c>
    </row>
    <row r="21" ht="15.75" customHeight="1" s="85">
      <c r="A21" s="7" t="inlineStr">
        <is>
          <t xml:space="preserve">  Origination fees ($)</t>
        </is>
      </c>
      <c r="B21" s="61">
        <f>SUMPRODUCT(('Monthly Model'!P4:P63)*('Monthly Model'!C4:C63=1))</f>
        <v/>
      </c>
      <c r="C21" s="61">
        <f>SUMPRODUCT(('Monthly Model'!P4:P63)*('Monthly Model'!C4:C63=2))</f>
        <v/>
      </c>
      <c r="D21" s="61">
        <f>SUMPRODUCT(('Monthly Model'!P4:P63)*('Monthly Model'!C4:C63=3))</f>
        <v/>
      </c>
      <c r="E21" s="61">
        <f>SUMPRODUCT(('Monthly Model'!P4:P63)*('Monthly Model'!C4:C63=4))</f>
        <v/>
      </c>
      <c r="F21" s="61">
        <f>SUMPRODUCT(('Monthly Model'!P4:P63)*('Monthly Model'!C4:C63=5))</f>
        <v/>
      </c>
      <c r="G21" s="65">
        <f>SUM(B21:F21)</f>
        <v/>
      </c>
    </row>
    <row r="22" ht="15.75" customHeight="1" s="85">
      <c r="A22" s="7" t="inlineStr">
        <is>
          <t>Operating expenses ($)</t>
        </is>
      </c>
      <c r="B22" s="44">
        <f>SUMPRODUCT(('Monthly Model'!R4:R63)*('Monthly Model'!C4:C63=1))</f>
        <v/>
      </c>
      <c r="C22" s="44">
        <f>SUMPRODUCT(('Monthly Model'!R4:R63)*('Monthly Model'!C4:C63=2))</f>
        <v/>
      </c>
      <c r="D22" s="44">
        <f>SUMPRODUCT(('Monthly Model'!R4:R63)*('Monthly Model'!C4:C63=3))</f>
        <v/>
      </c>
      <c r="E22" s="44">
        <f>SUMPRODUCT(('Monthly Model'!R4:R63)*('Monthly Model'!C4:C63=4))</f>
        <v/>
      </c>
      <c r="F22" s="44">
        <f>SUMPRODUCT(('Monthly Model'!R4:R63)*('Monthly Model'!C4:C63=5))</f>
        <v/>
      </c>
      <c r="G22" s="48">
        <f>SUM(B22:F22)</f>
        <v/>
      </c>
    </row>
    <row r="23" ht="15.75" customHeight="1" s="85">
      <c r="A23" s="7" t="inlineStr">
        <is>
          <t>Provision for losses ($)</t>
        </is>
      </c>
      <c r="B23" s="61">
        <f>SUMPRODUCT(('Monthly Model'!S4:S63)*('Monthly Model'!C4:C63=1))</f>
        <v/>
      </c>
      <c r="C23" s="61">
        <f>SUMPRODUCT(('Monthly Model'!S4:S63)*('Monthly Model'!C4:C63=2))</f>
        <v/>
      </c>
      <c r="D23" s="61">
        <f>SUMPRODUCT(('Monthly Model'!S4:S63)*('Monthly Model'!C4:C63=3))</f>
        <v/>
      </c>
      <c r="E23" s="61">
        <f>SUMPRODUCT(('Monthly Model'!S4:S63)*('Monthly Model'!C4:C63=4))</f>
        <v/>
      </c>
      <c r="F23" s="61">
        <f>SUMPRODUCT(('Monthly Model'!S4:S63)*('Monthly Model'!C4:C63=5))</f>
        <v/>
      </c>
      <c r="G23" s="65">
        <f>SUM(B23:F23)</f>
        <v/>
      </c>
    </row>
    <row r="24" ht="15.75" customHeight="1" s="85">
      <c r="A24" s="7" t="inlineStr">
        <is>
          <t>Cost of funds ($)</t>
        </is>
      </c>
      <c r="B24" s="44">
        <f>SUMPRODUCT(('Monthly Model'!V4:V63)*('Monthly Model'!C4:C63=1))</f>
        <v/>
      </c>
      <c r="C24" s="44">
        <f>SUMPRODUCT(('Monthly Model'!V4:V63)*('Monthly Model'!C4:C63=2))</f>
        <v/>
      </c>
      <c r="D24" s="44">
        <f>SUMPRODUCT(('Monthly Model'!V4:V63)*('Monthly Model'!C4:C63=3))</f>
        <v/>
      </c>
      <c r="E24" s="44">
        <f>SUMPRODUCT(('Monthly Model'!V4:V63)*('Monthly Model'!C4:C63=4))</f>
        <v/>
      </c>
      <c r="F24" s="44">
        <f>SUMPRODUCT(('Monthly Model'!V4:V63)*('Monthly Model'!C4:C63=5))</f>
        <v/>
      </c>
      <c r="G24" s="48">
        <f>SUM(B24:F24)</f>
        <v/>
      </c>
    </row>
    <row r="25" ht="15.75" customHeight="1" s="85">
      <c r="A25" s="24" t="inlineStr">
        <is>
          <t>Net income / (loss) ($)</t>
        </is>
      </c>
      <c r="B25" s="70">
        <f>SUMPRODUCT(('Monthly Model'!W4:W63)*('Monthly Model'!C4:C63=1))</f>
        <v/>
      </c>
      <c r="C25" s="70">
        <f>SUMPRODUCT(('Monthly Model'!W4:W63)*('Monthly Model'!C4:C63=2))</f>
        <v/>
      </c>
      <c r="D25" s="70">
        <f>SUMPRODUCT(('Monthly Model'!W4:W63)*('Monthly Model'!C4:C63=3))</f>
        <v/>
      </c>
      <c r="E25" s="70">
        <f>SUMPRODUCT(('Monthly Model'!W4:W63)*('Monthly Model'!C4:C63=4))</f>
        <v/>
      </c>
      <c r="F25" s="70">
        <f>SUMPRODUCT(('Monthly Model'!W4:W63)*('Monthly Model'!C4:C63=5))</f>
        <v/>
      </c>
      <c r="G25" s="71">
        <f>SUM(B25:F25)</f>
        <v/>
      </c>
    </row>
    <row r="26" ht="15.75" customHeight="1" s="85">
      <c r="A26" s="24" t="inlineStr">
        <is>
          <t>Cumulative net income ($)</t>
        </is>
      </c>
      <c r="B26" s="72">
        <f>'Monthly Model'!X15</f>
        <v/>
      </c>
      <c r="C26" s="72">
        <f>'Monthly Model'!X27</f>
        <v/>
      </c>
      <c r="D26" s="72">
        <f>'Monthly Model'!X39</f>
        <v/>
      </c>
      <c r="E26" s="72">
        <f>'Monthly Model'!X51</f>
        <v/>
      </c>
      <c r="F26" s="72">
        <f>'Monthly Model'!X63</f>
        <v/>
      </c>
      <c r="G26" s="73">
        <f>F26</f>
        <v/>
      </c>
    </row>
    <row r="27" ht="7.5" customHeight="1" s="85">
      <c r="A27" s="4" t="n"/>
      <c r="B27" s="4" t="n"/>
      <c r="C27" s="4" t="n"/>
      <c r="D27" s="4" t="n"/>
      <c r="E27" s="4" t="n"/>
      <c r="F27" s="4" t="n"/>
      <c r="G27" s="4" t="n"/>
    </row>
    <row r="28" ht="16.5" customHeight="1" s="85">
      <c r="A28" s="27" t="inlineStr">
        <is>
          <t xml:space="preserve">  CAPITAL REQUIREMENTS</t>
        </is>
      </c>
    </row>
    <row r="29" ht="15.75" customHeight="1" s="85">
      <c r="A29" s="24" t="inlineStr">
        <is>
          <t>Peak equity required ($)</t>
        </is>
      </c>
      <c r="B29" s="61">
        <f>MAX('Monthly Model'!AB4:AB15)</f>
        <v/>
      </c>
      <c r="C29" s="61">
        <f>MAX('Monthly Model'!AB16:AB27)</f>
        <v/>
      </c>
      <c r="D29" s="61">
        <f>MAX('Monthly Model'!AB28:AB39)</f>
        <v/>
      </c>
      <c r="E29" s="61">
        <f>MAX('Monthly Model'!AB40:AB51)</f>
        <v/>
      </c>
      <c r="F29" s="61">
        <f>MAX('Monthly Model'!AB52:AB63)</f>
        <v/>
      </c>
      <c r="G29" s="65">
        <f>MAX(B29:F29)</f>
        <v/>
      </c>
    </row>
    <row r="30" ht="15.75" customHeight="1" s="85">
      <c r="A30" s="7" t="inlineStr">
        <is>
          <t>Incremental capital raised ($)</t>
        </is>
      </c>
      <c r="B30" s="44">
        <f>SUMPRODUCT(('Monthly Model'!AC4:AC63)*('Monthly Model'!C4:C63=1))</f>
        <v/>
      </c>
      <c r="C30" s="44">
        <f>SUMPRODUCT(('Monthly Model'!AC4:AC63)*('Monthly Model'!C4:C63=2))</f>
        <v/>
      </c>
      <c r="D30" s="44">
        <f>SUMPRODUCT(('Monthly Model'!AC4:AC63)*('Monthly Model'!C4:C63=3))</f>
        <v/>
      </c>
      <c r="E30" s="44">
        <f>SUMPRODUCT(('Monthly Model'!AC4:AC63)*('Monthly Model'!C4:C63=4))</f>
        <v/>
      </c>
      <c r="F30" s="44">
        <f>SUMPRODUCT(('Monthly Model'!AC4:AC63)*('Monthly Model'!C4:C63=5))</f>
        <v/>
      </c>
      <c r="G30" s="48">
        <f>SUM(B30:F30)</f>
        <v/>
      </c>
    </row>
    <row r="31" ht="15.75" customHeight="1" s="85">
      <c r="A31" s="7" t="inlineStr">
        <is>
          <t>Debt balance at year end ($)</t>
        </is>
      </c>
      <c r="B31" s="61">
        <f>'Monthly Model'!U15</f>
        <v/>
      </c>
      <c r="C31" s="61">
        <f>'Monthly Model'!U27</f>
        <v/>
      </c>
      <c r="D31" s="61">
        <f>'Monthly Model'!U39</f>
        <v/>
      </c>
      <c r="E31" s="61">
        <f>'Monthly Model'!U51</f>
        <v/>
      </c>
      <c r="F31" s="61">
        <f>'Monthly Model'!U63</f>
        <v/>
      </c>
      <c r="G31" s="65">
        <f>F31</f>
        <v/>
      </c>
    </row>
    <row r="32" ht="15.75" customHeight="1" s="85">
      <c r="A32" s="4" t="n"/>
      <c r="B32" s="4" t="n"/>
      <c r="C32" s="4" t="n"/>
      <c r="D32" s="4" t="n"/>
      <c r="E32" s="4" t="n"/>
      <c r="F32" s="4" t="n"/>
      <c r="G32" s="4" t="n"/>
    </row>
    <row r="33" ht="15.75" customHeight="1" s="85">
      <c r="A33" s="4" t="n"/>
      <c r="B33" s="4" t="n"/>
      <c r="C33" s="4" t="n"/>
      <c r="D33" s="4" t="n"/>
      <c r="E33" s="4" t="n"/>
      <c r="F33" s="4" t="n"/>
      <c r="G33" s="4" t="n"/>
    </row>
    <row r="34" ht="15.75" customHeight="1" s="85">
      <c r="A34" s="4" t="n"/>
      <c r="B34" s="4" t="n"/>
      <c r="C34" s="4" t="n"/>
      <c r="D34" s="4" t="n"/>
      <c r="E34" s="4" t="n"/>
      <c r="F34" s="4" t="n"/>
      <c r="G34" s="4" t="n"/>
    </row>
    <row r="35" ht="15.75" customHeight="1" s="85">
      <c r="A35" s="4" t="n"/>
      <c r="B35" s="4" t="n"/>
      <c r="C35" s="4" t="n"/>
      <c r="D35" s="4" t="n"/>
      <c r="E35" s="4" t="n"/>
      <c r="F35" s="4" t="n"/>
      <c r="G35" s="4" t="n"/>
    </row>
    <row r="36" ht="15.75" customHeight="1" s="85">
      <c r="A36" s="4" t="n"/>
      <c r="B36" s="4" t="n"/>
      <c r="C36" s="4" t="n"/>
      <c r="D36" s="4" t="n"/>
      <c r="E36" s="4" t="n"/>
      <c r="F36" s="4" t="n"/>
      <c r="G36" s="4" t="n"/>
    </row>
    <row r="37" ht="15.75" customHeight="1" s="85">
      <c r="A37" s="4" t="n"/>
      <c r="B37" s="4" t="n"/>
      <c r="C37" s="4" t="n"/>
      <c r="D37" s="4" t="n"/>
      <c r="E37" s="4" t="n"/>
      <c r="F37" s="4" t="n"/>
      <c r="G37" s="4" t="n"/>
    </row>
    <row r="38" ht="15.75" customHeight="1" s="85">
      <c r="A38" s="4" t="n"/>
      <c r="B38" s="4" t="n"/>
      <c r="C38" s="4" t="n"/>
      <c r="D38" s="4" t="n"/>
      <c r="E38" s="4" t="n"/>
      <c r="F38" s="4" t="n"/>
      <c r="G38" s="4" t="n"/>
    </row>
    <row r="39" ht="15.75" customHeight="1" s="85">
      <c r="A39" s="4" t="n"/>
      <c r="B39" s="4" t="n"/>
      <c r="C39" s="4" t="n"/>
      <c r="D39" s="4" t="n"/>
      <c r="E39" s="4" t="n"/>
      <c r="F39" s="4" t="n"/>
      <c r="G39" s="4" t="n"/>
    </row>
    <row r="40" ht="15.75" customHeight="1" s="85">
      <c r="A40" s="4" t="n"/>
      <c r="B40" s="4" t="n"/>
      <c r="C40" s="4" t="n"/>
      <c r="D40" s="4" t="n"/>
      <c r="E40" s="4" t="n"/>
      <c r="F40" s="4" t="n"/>
      <c r="G40" s="4" t="n"/>
    </row>
    <row r="41" ht="15.75" customHeight="1" s="85">
      <c r="A41" s="4" t="n"/>
      <c r="B41" s="4" t="n"/>
      <c r="C41" s="4" t="n"/>
      <c r="D41" s="4" t="n"/>
      <c r="E41" s="4" t="n"/>
      <c r="F41" s="4" t="n"/>
      <c r="G41" s="4" t="n"/>
    </row>
    <row r="42" ht="15.75" customHeight="1" s="85">
      <c r="A42" s="4" t="n"/>
      <c r="B42" s="4" t="n"/>
      <c r="C42" s="4" t="n"/>
      <c r="D42" s="4" t="n"/>
      <c r="E42" s="4" t="n"/>
      <c r="F42" s="4" t="n"/>
      <c r="G42" s="4" t="n"/>
    </row>
    <row r="43" ht="15.75" customHeight="1" s="85">
      <c r="A43" s="4" t="n"/>
      <c r="B43" s="4" t="n"/>
      <c r="C43" s="4" t="n"/>
      <c r="D43" s="4" t="n"/>
      <c r="E43" s="4" t="n"/>
      <c r="F43" s="4" t="n"/>
      <c r="G43" s="4" t="n"/>
    </row>
    <row r="44" ht="15.75" customHeight="1" s="85">
      <c r="A44" s="4" t="n"/>
      <c r="B44" s="4" t="n"/>
      <c r="C44" s="4" t="n"/>
      <c r="D44" s="4" t="n"/>
      <c r="E44" s="4" t="n"/>
      <c r="F44" s="4" t="n"/>
      <c r="G44" s="4" t="n"/>
    </row>
    <row r="45" ht="15.75" customHeight="1" s="85">
      <c r="A45" s="4" t="n"/>
      <c r="B45" s="4" t="n"/>
      <c r="C45" s="4" t="n"/>
      <c r="D45" s="4" t="n"/>
      <c r="E45" s="4" t="n"/>
      <c r="F45" s="4" t="n"/>
      <c r="G45" s="4" t="n"/>
    </row>
    <row r="46" ht="15.75" customHeight="1" s="85">
      <c r="A46" s="4" t="n"/>
      <c r="B46" s="4" t="n"/>
      <c r="C46" s="4" t="n"/>
      <c r="D46" s="4" t="n"/>
      <c r="E46" s="4" t="n"/>
      <c r="F46" s="4" t="n"/>
      <c r="G46" s="4" t="n"/>
    </row>
    <row r="47" ht="15.75" customHeight="1" s="85">
      <c r="A47" s="4" t="n"/>
      <c r="B47" s="4" t="n"/>
      <c r="C47" s="4" t="n"/>
      <c r="D47" s="4" t="n"/>
      <c r="E47" s="4" t="n"/>
      <c r="F47" s="4" t="n"/>
      <c r="G47" s="4" t="n"/>
    </row>
    <row r="48" ht="15.75" customHeight="1" s="85">
      <c r="A48" s="4" t="n"/>
      <c r="B48" s="4" t="n"/>
      <c r="C48" s="4" t="n"/>
      <c r="D48" s="4" t="n"/>
      <c r="E48" s="4" t="n"/>
      <c r="F48" s="4" t="n"/>
      <c r="G48" s="4" t="n"/>
    </row>
    <row r="49" ht="15.75" customHeight="1" s="85">
      <c r="A49" s="4" t="n"/>
      <c r="B49" s="4" t="n"/>
      <c r="C49" s="4" t="n"/>
      <c r="D49" s="4" t="n"/>
      <c r="E49" s="4" t="n"/>
      <c r="F49" s="4" t="n"/>
      <c r="G49" s="4" t="n"/>
    </row>
    <row r="50" ht="15.75" customHeight="1" s="85">
      <c r="A50" s="4" t="n"/>
      <c r="B50" s="4" t="n"/>
      <c r="C50" s="4" t="n"/>
      <c r="D50" s="4" t="n"/>
      <c r="E50" s="4" t="n"/>
      <c r="F50" s="4" t="n"/>
      <c r="G50" s="4" t="n"/>
    </row>
    <row r="51" ht="15.75" customHeight="1" s="85">
      <c r="A51" s="4" t="n"/>
      <c r="B51" s="4" t="n"/>
      <c r="C51" s="4" t="n"/>
      <c r="D51" s="4" t="n"/>
      <c r="E51" s="4" t="n"/>
      <c r="F51" s="4" t="n"/>
      <c r="G51" s="4" t="n"/>
    </row>
    <row r="52" ht="15.75" customHeight="1" s="85">
      <c r="A52" s="4" t="n"/>
      <c r="B52" s="4" t="n"/>
      <c r="C52" s="4" t="n"/>
      <c r="D52" s="4" t="n"/>
      <c r="E52" s="4" t="n"/>
      <c r="F52" s="4" t="n"/>
      <c r="G52" s="4" t="n"/>
    </row>
    <row r="53" ht="15.75" customHeight="1" s="85">
      <c r="A53" s="4" t="n"/>
      <c r="B53" s="4" t="n"/>
      <c r="C53" s="4" t="n"/>
      <c r="D53" s="4" t="n"/>
      <c r="E53" s="4" t="n"/>
      <c r="F53" s="4" t="n"/>
      <c r="G53" s="4" t="n"/>
    </row>
    <row r="54" ht="15.75" customHeight="1" s="85">
      <c r="A54" s="4" t="n"/>
      <c r="B54" s="4" t="n"/>
      <c r="C54" s="4" t="n"/>
      <c r="D54" s="4" t="n"/>
      <c r="E54" s="4" t="n"/>
      <c r="F54" s="4" t="n"/>
      <c r="G54" s="4" t="n"/>
    </row>
    <row r="55" ht="15.75" customHeight="1" s="85">
      <c r="A55" s="4" t="n"/>
      <c r="B55" s="4" t="n"/>
      <c r="C55" s="4" t="n"/>
      <c r="D55" s="4" t="n"/>
      <c r="E55" s="4" t="n"/>
      <c r="F55" s="4" t="n"/>
      <c r="G55" s="4" t="n"/>
    </row>
    <row r="56" ht="15.75" customHeight="1" s="85">
      <c r="A56" s="4" t="n"/>
      <c r="B56" s="4" t="n"/>
      <c r="C56" s="4" t="n"/>
      <c r="D56" s="4" t="n"/>
      <c r="E56" s="4" t="n"/>
      <c r="F56" s="4" t="n"/>
      <c r="G56" s="4" t="n"/>
    </row>
    <row r="57" ht="15.75" customHeight="1" s="85">
      <c r="A57" s="4" t="n"/>
      <c r="B57" s="4" t="n"/>
      <c r="C57" s="4" t="n"/>
      <c r="D57" s="4" t="n"/>
      <c r="E57" s="4" t="n"/>
      <c r="F57" s="4" t="n"/>
      <c r="G57" s="4" t="n"/>
    </row>
    <row r="58" ht="15.75" customHeight="1" s="85">
      <c r="A58" s="4" t="n"/>
      <c r="B58" s="4" t="n"/>
      <c r="C58" s="4" t="n"/>
      <c r="D58" s="4" t="n"/>
      <c r="E58" s="4" t="n"/>
      <c r="F58" s="4" t="n"/>
      <c r="G58" s="4" t="n"/>
    </row>
    <row r="59" ht="15.75" customHeight="1" s="85">
      <c r="A59" s="4" t="n"/>
      <c r="B59" s="4" t="n"/>
      <c r="C59" s="4" t="n"/>
      <c r="D59" s="4" t="n"/>
      <c r="E59" s="4" t="n"/>
      <c r="F59" s="4" t="n"/>
      <c r="G59" s="4" t="n"/>
    </row>
    <row r="60" ht="15.75" customHeight="1" s="85">
      <c r="A60" s="4" t="n"/>
      <c r="B60" s="4" t="n"/>
      <c r="C60" s="4" t="n"/>
      <c r="D60" s="4" t="n"/>
      <c r="E60" s="4" t="n"/>
      <c r="F60" s="4" t="n"/>
      <c r="G60" s="4" t="n"/>
    </row>
    <row r="61" ht="15.75" customHeight="1" s="85">
      <c r="A61" s="4" t="n"/>
      <c r="B61" s="4" t="n"/>
      <c r="C61" s="4" t="n"/>
      <c r="D61" s="4" t="n"/>
      <c r="E61" s="4" t="n"/>
      <c r="F61" s="4" t="n"/>
      <c r="G61" s="4" t="n"/>
    </row>
    <row r="62" ht="15.75" customHeight="1" s="85">
      <c r="A62" s="4" t="n"/>
      <c r="B62" s="4" t="n"/>
      <c r="C62" s="4" t="n"/>
      <c r="D62" s="4" t="n"/>
      <c r="E62" s="4" t="n"/>
      <c r="F62" s="4" t="n"/>
      <c r="G62" s="4" t="n"/>
    </row>
    <row r="63" ht="15.75" customHeight="1" s="85">
      <c r="A63" s="4" t="n"/>
      <c r="B63" s="4" t="n"/>
      <c r="C63" s="4" t="n"/>
      <c r="D63" s="4" t="n"/>
      <c r="E63" s="4" t="n"/>
      <c r="F63" s="4" t="n"/>
      <c r="G63" s="4" t="n"/>
    </row>
    <row r="64" ht="15.75" customHeight="1" s="85">
      <c r="A64" s="4" t="n"/>
      <c r="B64" s="4" t="n"/>
      <c r="C64" s="4" t="n"/>
      <c r="D64" s="4" t="n"/>
      <c r="E64" s="4" t="n"/>
      <c r="F64" s="4" t="n"/>
      <c r="G64" s="4" t="n"/>
    </row>
    <row r="65" ht="15.75" customHeight="1" s="85">
      <c r="A65" s="4" t="n"/>
      <c r="B65" s="4" t="n"/>
      <c r="C65" s="4" t="n"/>
      <c r="D65" s="4" t="n"/>
      <c r="E65" s="4" t="n"/>
      <c r="F65" s="4" t="n"/>
      <c r="G65" s="4" t="n"/>
    </row>
    <row r="66" ht="15.75" customHeight="1" s="85">
      <c r="A66" s="4" t="n"/>
      <c r="B66" s="4" t="n"/>
      <c r="C66" s="4" t="n"/>
      <c r="D66" s="4" t="n"/>
      <c r="E66" s="4" t="n"/>
      <c r="F66" s="4" t="n"/>
      <c r="G66" s="4" t="n"/>
    </row>
    <row r="67" ht="15.75" customHeight="1" s="85">
      <c r="A67" s="4" t="n"/>
      <c r="B67" s="4" t="n"/>
      <c r="C67" s="4" t="n"/>
      <c r="D67" s="4" t="n"/>
      <c r="E67" s="4" t="n"/>
      <c r="F67" s="4" t="n"/>
      <c r="G67" s="4" t="n"/>
    </row>
    <row r="68" ht="15.75" customHeight="1" s="85">
      <c r="A68" s="4" t="n"/>
      <c r="B68" s="4" t="n"/>
      <c r="C68" s="4" t="n"/>
      <c r="D68" s="4" t="n"/>
      <c r="E68" s="4" t="n"/>
      <c r="F68" s="4" t="n"/>
      <c r="G68" s="4" t="n"/>
    </row>
    <row r="69" ht="15.75" customHeight="1" s="85">
      <c r="A69" s="4" t="n"/>
      <c r="B69" s="4" t="n"/>
      <c r="C69" s="4" t="n"/>
      <c r="D69" s="4" t="n"/>
      <c r="E69" s="4" t="n"/>
      <c r="F69" s="4" t="n"/>
      <c r="G69" s="4" t="n"/>
    </row>
    <row r="70" ht="15.75" customHeight="1" s="85">
      <c r="A70" s="4" t="n"/>
      <c r="B70" s="4" t="n"/>
      <c r="C70" s="4" t="n"/>
      <c r="D70" s="4" t="n"/>
      <c r="E70" s="4" t="n"/>
      <c r="F70" s="4" t="n"/>
      <c r="G70" s="4" t="n"/>
    </row>
    <row r="71" ht="15.75" customHeight="1" s="85">
      <c r="A71" s="4" t="n"/>
      <c r="B71" s="4" t="n"/>
      <c r="C71" s="4" t="n"/>
      <c r="D71" s="4" t="n"/>
      <c r="E71" s="4" t="n"/>
      <c r="F71" s="4" t="n"/>
      <c r="G71" s="4" t="n"/>
    </row>
    <row r="72" ht="15.75" customHeight="1" s="85">
      <c r="A72" s="4" t="n"/>
      <c r="B72" s="4" t="n"/>
      <c r="C72" s="4" t="n"/>
      <c r="D72" s="4" t="n"/>
      <c r="E72" s="4" t="n"/>
      <c r="F72" s="4" t="n"/>
      <c r="G72" s="4" t="n"/>
    </row>
    <row r="73" ht="15.75" customHeight="1" s="85">
      <c r="A73" s="4" t="n"/>
      <c r="B73" s="4" t="n"/>
      <c r="C73" s="4" t="n"/>
      <c r="D73" s="4" t="n"/>
      <c r="E73" s="4" t="n"/>
      <c r="F73" s="4" t="n"/>
      <c r="G73" s="4" t="n"/>
    </row>
    <row r="74" ht="15.75" customHeight="1" s="85">
      <c r="A74" s="4" t="n"/>
      <c r="B74" s="4" t="n"/>
      <c r="C74" s="4" t="n"/>
      <c r="D74" s="4" t="n"/>
      <c r="E74" s="4" t="n"/>
      <c r="F74" s="4" t="n"/>
      <c r="G74" s="4" t="n"/>
    </row>
    <row r="75" ht="15.75" customHeight="1" s="85">
      <c r="A75" s="4" t="n"/>
      <c r="B75" s="4" t="n"/>
      <c r="C75" s="4" t="n"/>
      <c r="D75" s="4" t="n"/>
      <c r="E75" s="4" t="n"/>
      <c r="F75" s="4" t="n"/>
      <c r="G75" s="4" t="n"/>
    </row>
    <row r="76" ht="15.75" customHeight="1" s="85">
      <c r="A76" s="4" t="n"/>
      <c r="B76" s="4" t="n"/>
      <c r="C76" s="4" t="n"/>
      <c r="D76" s="4" t="n"/>
      <c r="E76" s="4" t="n"/>
      <c r="F76" s="4" t="n"/>
      <c r="G76" s="4" t="n"/>
    </row>
    <row r="77" ht="15.75" customHeight="1" s="85">
      <c r="A77" s="4" t="n"/>
      <c r="B77" s="4" t="n"/>
      <c r="C77" s="4" t="n"/>
      <c r="D77" s="4" t="n"/>
      <c r="E77" s="4" t="n"/>
      <c r="F77" s="4" t="n"/>
      <c r="G77" s="4" t="n"/>
    </row>
    <row r="78" ht="15.75" customHeight="1" s="85">
      <c r="A78" s="4" t="n"/>
      <c r="B78" s="4" t="n"/>
      <c r="C78" s="4" t="n"/>
      <c r="D78" s="4" t="n"/>
      <c r="E78" s="4" t="n"/>
      <c r="F78" s="4" t="n"/>
      <c r="G78" s="4" t="n"/>
    </row>
    <row r="79" ht="15.75" customHeight="1" s="85">
      <c r="A79" s="4" t="n"/>
      <c r="B79" s="4" t="n"/>
      <c r="C79" s="4" t="n"/>
      <c r="D79" s="4" t="n"/>
      <c r="E79" s="4" t="n"/>
      <c r="F79" s="4" t="n"/>
      <c r="G79" s="4" t="n"/>
    </row>
    <row r="80" ht="15.75" customHeight="1" s="85">
      <c r="A80" s="4" t="n"/>
      <c r="B80" s="4" t="n"/>
      <c r="C80" s="4" t="n"/>
      <c r="D80" s="4" t="n"/>
      <c r="E80" s="4" t="n"/>
      <c r="F80" s="4" t="n"/>
      <c r="G80" s="4" t="n"/>
    </row>
    <row r="81" ht="15.75" customHeight="1" s="85">
      <c r="A81" s="4" t="n"/>
      <c r="B81" s="4" t="n"/>
      <c r="C81" s="4" t="n"/>
      <c r="D81" s="4" t="n"/>
      <c r="E81" s="4" t="n"/>
      <c r="F81" s="4" t="n"/>
      <c r="G81" s="4" t="n"/>
    </row>
    <row r="82" ht="15.75" customHeight="1" s="85">
      <c r="A82" s="4" t="n"/>
      <c r="B82" s="4" t="n"/>
      <c r="C82" s="4" t="n"/>
      <c r="D82" s="4" t="n"/>
      <c r="E82" s="4" t="n"/>
      <c r="F82" s="4" t="n"/>
      <c r="G82" s="4" t="n"/>
    </row>
    <row r="83" ht="15.75" customHeight="1" s="85">
      <c r="A83" s="4" t="n"/>
      <c r="B83" s="4" t="n"/>
      <c r="C83" s="4" t="n"/>
      <c r="D83" s="4" t="n"/>
      <c r="E83" s="4" t="n"/>
      <c r="F83" s="4" t="n"/>
      <c r="G83" s="4" t="n"/>
    </row>
    <row r="84" ht="15.75" customHeight="1" s="85">
      <c r="A84" s="4" t="n"/>
      <c r="B84" s="4" t="n"/>
      <c r="C84" s="4" t="n"/>
      <c r="D84" s="4" t="n"/>
      <c r="E84" s="4" t="n"/>
      <c r="F84" s="4" t="n"/>
      <c r="G84" s="4" t="n"/>
    </row>
    <row r="85" ht="15.75" customHeight="1" s="85">
      <c r="A85" s="4" t="n"/>
      <c r="B85" s="4" t="n"/>
      <c r="C85" s="4" t="n"/>
      <c r="D85" s="4" t="n"/>
      <c r="E85" s="4" t="n"/>
      <c r="F85" s="4" t="n"/>
      <c r="G85" s="4" t="n"/>
    </row>
    <row r="86" ht="15.75" customHeight="1" s="85">
      <c r="A86" s="4" t="n"/>
      <c r="B86" s="4" t="n"/>
      <c r="C86" s="4" t="n"/>
      <c r="D86" s="4" t="n"/>
      <c r="E86" s="4" t="n"/>
      <c r="F86" s="4" t="n"/>
      <c r="G86" s="4" t="n"/>
    </row>
    <row r="87" ht="15.75" customHeight="1" s="85">
      <c r="A87" s="4" t="n"/>
      <c r="B87" s="4" t="n"/>
      <c r="C87" s="4" t="n"/>
      <c r="D87" s="4" t="n"/>
      <c r="E87" s="4" t="n"/>
      <c r="F87" s="4" t="n"/>
      <c r="G87" s="4" t="n"/>
    </row>
    <row r="88" ht="15.75" customHeight="1" s="85">
      <c r="A88" s="4" t="n"/>
      <c r="B88" s="4" t="n"/>
      <c r="C88" s="4" t="n"/>
      <c r="D88" s="4" t="n"/>
      <c r="E88" s="4" t="n"/>
      <c r="F88" s="4" t="n"/>
      <c r="G88" s="4" t="n"/>
    </row>
    <row r="89" ht="15.75" customHeight="1" s="85">
      <c r="A89" s="4" t="n"/>
      <c r="B89" s="4" t="n"/>
      <c r="C89" s="4" t="n"/>
      <c r="D89" s="4" t="n"/>
      <c r="E89" s="4" t="n"/>
      <c r="F89" s="4" t="n"/>
      <c r="G89" s="4" t="n"/>
    </row>
    <row r="90" ht="15.75" customHeight="1" s="85">
      <c r="A90" s="4" t="n"/>
      <c r="B90" s="4" t="n"/>
      <c r="C90" s="4" t="n"/>
      <c r="D90" s="4" t="n"/>
      <c r="E90" s="4" t="n"/>
      <c r="F90" s="4" t="n"/>
      <c r="G90" s="4" t="n"/>
    </row>
    <row r="91" ht="15.75" customHeight="1" s="85">
      <c r="A91" s="4" t="n"/>
      <c r="B91" s="4" t="n"/>
      <c r="C91" s="4" t="n"/>
      <c r="D91" s="4" t="n"/>
      <c r="E91" s="4" t="n"/>
      <c r="F91" s="4" t="n"/>
      <c r="G91" s="4" t="n"/>
    </row>
    <row r="92" ht="15.75" customHeight="1" s="85">
      <c r="A92" s="4" t="n"/>
      <c r="B92" s="4" t="n"/>
      <c r="C92" s="4" t="n"/>
      <c r="D92" s="4" t="n"/>
      <c r="E92" s="4" t="n"/>
      <c r="F92" s="4" t="n"/>
      <c r="G92" s="4" t="n"/>
    </row>
    <row r="93" ht="15.75" customHeight="1" s="85">
      <c r="A93" s="4" t="n"/>
      <c r="B93" s="4" t="n"/>
      <c r="C93" s="4" t="n"/>
      <c r="D93" s="4" t="n"/>
      <c r="E93" s="4" t="n"/>
      <c r="F93" s="4" t="n"/>
      <c r="G93" s="4" t="n"/>
    </row>
    <row r="94" ht="15.75" customHeight="1" s="85">
      <c r="A94" s="4" t="n"/>
      <c r="B94" s="4" t="n"/>
      <c r="C94" s="4" t="n"/>
      <c r="D94" s="4" t="n"/>
      <c r="E94" s="4" t="n"/>
      <c r="F94" s="4" t="n"/>
      <c r="G94" s="4" t="n"/>
    </row>
    <row r="95" ht="15.75" customHeight="1" s="85">
      <c r="A95" s="4" t="n"/>
      <c r="B95" s="4" t="n"/>
      <c r="C95" s="4" t="n"/>
      <c r="D95" s="4" t="n"/>
      <c r="E95" s="4" t="n"/>
      <c r="F95" s="4" t="n"/>
      <c r="G95" s="4" t="n"/>
    </row>
    <row r="96" ht="15.75" customHeight="1" s="85">
      <c r="A96" s="4" t="n"/>
      <c r="B96" s="4" t="n"/>
      <c r="C96" s="4" t="n"/>
      <c r="D96" s="4" t="n"/>
      <c r="E96" s="4" t="n"/>
      <c r="F96" s="4" t="n"/>
      <c r="G96" s="4" t="n"/>
    </row>
    <row r="97" ht="15.75" customHeight="1" s="85">
      <c r="A97" s="4" t="n"/>
      <c r="B97" s="4" t="n"/>
      <c r="C97" s="4" t="n"/>
      <c r="D97" s="4" t="n"/>
      <c r="E97" s="4" t="n"/>
      <c r="F97" s="4" t="n"/>
      <c r="G97" s="4" t="n"/>
    </row>
    <row r="98" ht="15.75" customHeight="1" s="85">
      <c r="A98" s="4" t="n"/>
      <c r="B98" s="4" t="n"/>
      <c r="C98" s="4" t="n"/>
      <c r="D98" s="4" t="n"/>
      <c r="E98" s="4" t="n"/>
      <c r="F98" s="4" t="n"/>
      <c r="G98" s="4" t="n"/>
    </row>
    <row r="99" ht="15.75" customHeight="1" s="85">
      <c r="A99" s="4" t="n"/>
      <c r="B99" s="4" t="n"/>
      <c r="C99" s="4" t="n"/>
      <c r="D99" s="4" t="n"/>
      <c r="E99" s="4" t="n"/>
      <c r="F99" s="4" t="n"/>
      <c r="G99" s="4" t="n"/>
    </row>
    <row r="100" ht="15.75" customHeight="1" s="85">
      <c r="A100" s="4" t="n"/>
      <c r="B100" s="4" t="n"/>
      <c r="C100" s="4" t="n"/>
      <c r="D100" s="4" t="n"/>
      <c r="E100" s="4" t="n"/>
      <c r="F100" s="4" t="n"/>
      <c r="G100" s="4" t="n"/>
    </row>
    <row r="101" ht="15.75" customHeight="1" s="85">
      <c r="A101" s="4" t="n"/>
      <c r="B101" s="4" t="n"/>
      <c r="C101" s="4" t="n"/>
      <c r="D101" s="4" t="n"/>
      <c r="E101" s="4" t="n"/>
      <c r="F101" s="4" t="n"/>
      <c r="G101" s="4" t="n"/>
    </row>
    <row r="102" ht="15.75" customHeight="1" s="85">
      <c r="A102" s="4" t="n"/>
      <c r="B102" s="4" t="n"/>
      <c r="C102" s="4" t="n"/>
      <c r="D102" s="4" t="n"/>
      <c r="E102" s="4" t="n"/>
      <c r="F102" s="4" t="n"/>
      <c r="G102" s="4" t="n"/>
    </row>
    <row r="103" ht="15.75" customHeight="1" s="85">
      <c r="A103" s="4" t="n"/>
      <c r="B103" s="4" t="n"/>
      <c r="C103" s="4" t="n"/>
      <c r="D103" s="4" t="n"/>
      <c r="E103" s="4" t="n"/>
      <c r="F103" s="4" t="n"/>
      <c r="G103" s="4" t="n"/>
    </row>
    <row r="104" ht="15.75" customHeight="1" s="85">
      <c r="A104" s="4" t="n"/>
      <c r="B104" s="4" t="n"/>
      <c r="C104" s="4" t="n"/>
      <c r="D104" s="4" t="n"/>
      <c r="E104" s="4" t="n"/>
      <c r="F104" s="4" t="n"/>
      <c r="G104" s="4" t="n"/>
    </row>
    <row r="105" ht="15.75" customHeight="1" s="85">
      <c r="A105" s="4" t="n"/>
      <c r="B105" s="4" t="n"/>
      <c r="C105" s="4" t="n"/>
      <c r="D105" s="4" t="n"/>
      <c r="E105" s="4" t="n"/>
      <c r="F105" s="4" t="n"/>
      <c r="G105" s="4" t="n"/>
    </row>
    <row r="106" ht="15.75" customHeight="1" s="85">
      <c r="A106" s="4" t="n"/>
      <c r="B106" s="4" t="n"/>
      <c r="C106" s="4" t="n"/>
      <c r="D106" s="4" t="n"/>
      <c r="E106" s="4" t="n"/>
      <c r="F106" s="4" t="n"/>
      <c r="G106" s="4" t="n"/>
    </row>
    <row r="107" ht="15.75" customHeight="1" s="85">
      <c r="A107" s="4" t="n"/>
      <c r="B107" s="4" t="n"/>
      <c r="C107" s="4" t="n"/>
      <c r="D107" s="4" t="n"/>
      <c r="E107" s="4" t="n"/>
      <c r="F107" s="4" t="n"/>
      <c r="G107" s="4" t="n"/>
    </row>
    <row r="108" ht="15.75" customHeight="1" s="85">
      <c r="A108" s="4" t="n"/>
      <c r="B108" s="4" t="n"/>
      <c r="C108" s="4" t="n"/>
      <c r="D108" s="4" t="n"/>
      <c r="E108" s="4" t="n"/>
      <c r="F108" s="4" t="n"/>
      <c r="G108" s="4" t="n"/>
    </row>
    <row r="109" ht="15.75" customHeight="1" s="85">
      <c r="A109" s="4" t="n"/>
      <c r="B109" s="4" t="n"/>
      <c r="C109" s="4" t="n"/>
      <c r="D109" s="4" t="n"/>
      <c r="E109" s="4" t="n"/>
      <c r="F109" s="4" t="n"/>
      <c r="G109" s="4" t="n"/>
    </row>
    <row r="110" ht="15.75" customHeight="1" s="85">
      <c r="A110" s="4" t="n"/>
      <c r="B110" s="4" t="n"/>
      <c r="C110" s="4" t="n"/>
      <c r="D110" s="4" t="n"/>
      <c r="E110" s="4" t="n"/>
      <c r="F110" s="4" t="n"/>
      <c r="G110" s="4" t="n"/>
    </row>
    <row r="111" ht="15.75" customHeight="1" s="85">
      <c r="A111" s="4" t="n"/>
      <c r="B111" s="4" t="n"/>
      <c r="C111" s="4" t="n"/>
      <c r="D111" s="4" t="n"/>
      <c r="E111" s="4" t="n"/>
      <c r="F111" s="4" t="n"/>
      <c r="G111" s="4" t="n"/>
    </row>
    <row r="112" ht="15.75" customHeight="1" s="85">
      <c r="A112" s="4" t="n"/>
      <c r="B112" s="4" t="n"/>
      <c r="C112" s="4" t="n"/>
      <c r="D112" s="4" t="n"/>
      <c r="E112" s="4" t="n"/>
      <c r="F112" s="4" t="n"/>
      <c r="G112" s="4" t="n"/>
    </row>
    <row r="113" ht="15.75" customHeight="1" s="85">
      <c r="A113" s="4" t="n"/>
      <c r="B113" s="4" t="n"/>
      <c r="C113" s="4" t="n"/>
      <c r="D113" s="4" t="n"/>
      <c r="E113" s="4" t="n"/>
      <c r="F113" s="4" t="n"/>
      <c r="G113" s="4" t="n"/>
    </row>
    <row r="114" ht="15.75" customHeight="1" s="85">
      <c r="A114" s="4" t="n"/>
      <c r="B114" s="4" t="n"/>
      <c r="C114" s="4" t="n"/>
      <c r="D114" s="4" t="n"/>
      <c r="E114" s="4" t="n"/>
      <c r="F114" s="4" t="n"/>
      <c r="G114" s="4" t="n"/>
    </row>
    <row r="115" ht="15.75" customHeight="1" s="85">
      <c r="A115" s="4" t="n"/>
      <c r="B115" s="4" t="n"/>
      <c r="C115" s="4" t="n"/>
      <c r="D115" s="4" t="n"/>
      <c r="E115" s="4" t="n"/>
      <c r="F115" s="4" t="n"/>
      <c r="G115" s="4" t="n"/>
    </row>
    <row r="116" ht="15.75" customHeight="1" s="85">
      <c r="A116" s="4" t="n"/>
      <c r="B116" s="4" t="n"/>
      <c r="C116" s="4" t="n"/>
      <c r="D116" s="4" t="n"/>
      <c r="E116" s="4" t="n"/>
      <c r="F116" s="4" t="n"/>
      <c r="G116" s="4" t="n"/>
    </row>
    <row r="117" ht="15.75" customHeight="1" s="85">
      <c r="A117" s="4" t="n"/>
      <c r="B117" s="4" t="n"/>
      <c r="C117" s="4" t="n"/>
      <c r="D117" s="4" t="n"/>
      <c r="E117" s="4" t="n"/>
      <c r="F117" s="4" t="n"/>
      <c r="G117" s="4" t="n"/>
    </row>
    <row r="118" ht="15.75" customHeight="1" s="85">
      <c r="A118" s="4" t="n"/>
      <c r="B118" s="4" t="n"/>
      <c r="C118" s="4" t="n"/>
      <c r="D118" s="4" t="n"/>
      <c r="E118" s="4" t="n"/>
      <c r="F118" s="4" t="n"/>
      <c r="G118" s="4" t="n"/>
    </row>
    <row r="119" ht="15.75" customHeight="1" s="85">
      <c r="A119" s="4" t="n"/>
      <c r="B119" s="4" t="n"/>
      <c r="C119" s="4" t="n"/>
      <c r="D119" s="4" t="n"/>
      <c r="E119" s="4" t="n"/>
      <c r="F119" s="4" t="n"/>
      <c r="G119" s="4" t="n"/>
    </row>
    <row r="120" ht="15.75" customHeight="1" s="85">
      <c r="A120" s="4" t="n"/>
      <c r="B120" s="4" t="n"/>
      <c r="C120" s="4" t="n"/>
      <c r="D120" s="4" t="n"/>
      <c r="E120" s="4" t="n"/>
      <c r="F120" s="4" t="n"/>
      <c r="G120" s="4" t="n"/>
    </row>
    <row r="121" ht="15.75" customHeight="1" s="85">
      <c r="A121" s="4" t="n"/>
      <c r="B121" s="4" t="n"/>
      <c r="C121" s="4" t="n"/>
      <c r="D121" s="4" t="n"/>
      <c r="E121" s="4" t="n"/>
      <c r="F121" s="4" t="n"/>
      <c r="G121" s="4" t="n"/>
    </row>
    <row r="122" ht="15.75" customHeight="1" s="85">
      <c r="A122" s="4" t="n"/>
      <c r="B122" s="4" t="n"/>
      <c r="C122" s="4" t="n"/>
      <c r="D122" s="4" t="n"/>
      <c r="E122" s="4" t="n"/>
      <c r="F122" s="4" t="n"/>
      <c r="G122" s="4" t="n"/>
    </row>
    <row r="123" ht="15.75" customHeight="1" s="85">
      <c r="A123" s="4" t="n"/>
      <c r="B123" s="4" t="n"/>
      <c r="C123" s="4" t="n"/>
      <c r="D123" s="4" t="n"/>
      <c r="E123" s="4" t="n"/>
      <c r="F123" s="4" t="n"/>
      <c r="G123" s="4" t="n"/>
    </row>
    <row r="124" ht="15.75" customHeight="1" s="85">
      <c r="A124" s="4" t="n"/>
      <c r="B124" s="4" t="n"/>
      <c r="C124" s="4" t="n"/>
      <c r="D124" s="4" t="n"/>
      <c r="E124" s="4" t="n"/>
      <c r="F124" s="4" t="n"/>
      <c r="G124" s="4" t="n"/>
    </row>
    <row r="125" ht="15.75" customHeight="1" s="85">
      <c r="A125" s="4" t="n"/>
      <c r="B125" s="4" t="n"/>
      <c r="C125" s="4" t="n"/>
      <c r="D125" s="4" t="n"/>
      <c r="E125" s="4" t="n"/>
      <c r="F125" s="4" t="n"/>
      <c r="G125" s="4" t="n"/>
    </row>
    <row r="126" ht="15.75" customHeight="1" s="85">
      <c r="A126" s="4" t="n"/>
      <c r="B126" s="4" t="n"/>
      <c r="C126" s="4" t="n"/>
      <c r="D126" s="4" t="n"/>
      <c r="E126" s="4" t="n"/>
      <c r="F126" s="4" t="n"/>
      <c r="G126" s="4" t="n"/>
    </row>
    <row r="127" ht="15.75" customHeight="1" s="85">
      <c r="A127" s="4" t="n"/>
      <c r="B127" s="4" t="n"/>
      <c r="C127" s="4" t="n"/>
      <c r="D127" s="4" t="n"/>
      <c r="E127" s="4" t="n"/>
      <c r="F127" s="4" t="n"/>
      <c r="G127" s="4" t="n"/>
    </row>
    <row r="128" ht="15.75" customHeight="1" s="85">
      <c r="A128" s="4" t="n"/>
      <c r="B128" s="4" t="n"/>
      <c r="C128" s="4" t="n"/>
      <c r="D128" s="4" t="n"/>
      <c r="E128" s="4" t="n"/>
      <c r="F128" s="4" t="n"/>
      <c r="G128" s="4" t="n"/>
    </row>
    <row r="129" ht="15.75" customHeight="1" s="85">
      <c r="A129" s="4" t="n"/>
      <c r="B129" s="4" t="n"/>
      <c r="C129" s="4" t="n"/>
      <c r="D129" s="4" t="n"/>
      <c r="E129" s="4" t="n"/>
      <c r="F129" s="4" t="n"/>
      <c r="G129" s="4" t="n"/>
    </row>
    <row r="130" ht="15.75" customHeight="1" s="85">
      <c r="A130" s="4" t="n"/>
      <c r="B130" s="4" t="n"/>
      <c r="C130" s="4" t="n"/>
      <c r="D130" s="4" t="n"/>
      <c r="E130" s="4" t="n"/>
      <c r="F130" s="4" t="n"/>
      <c r="G130" s="4" t="n"/>
    </row>
    <row r="131" ht="15.75" customHeight="1" s="85">
      <c r="A131" s="4" t="n"/>
      <c r="B131" s="4" t="n"/>
      <c r="C131" s="4" t="n"/>
      <c r="D131" s="4" t="n"/>
      <c r="E131" s="4" t="n"/>
      <c r="F131" s="4" t="n"/>
      <c r="G131" s="4" t="n"/>
    </row>
    <row r="132" ht="15.75" customHeight="1" s="85">
      <c r="A132" s="4" t="n"/>
      <c r="B132" s="4" t="n"/>
      <c r="C132" s="4" t="n"/>
      <c r="D132" s="4" t="n"/>
      <c r="E132" s="4" t="n"/>
      <c r="F132" s="4" t="n"/>
      <c r="G132" s="4" t="n"/>
    </row>
    <row r="133" ht="15.75" customHeight="1" s="85">
      <c r="A133" s="4" t="n"/>
      <c r="B133" s="4" t="n"/>
      <c r="C133" s="4" t="n"/>
      <c r="D133" s="4" t="n"/>
      <c r="E133" s="4" t="n"/>
      <c r="F133" s="4" t="n"/>
      <c r="G133" s="4" t="n"/>
    </row>
    <row r="134" ht="15.75" customHeight="1" s="85">
      <c r="A134" s="4" t="n"/>
      <c r="B134" s="4" t="n"/>
      <c r="C134" s="4" t="n"/>
      <c r="D134" s="4" t="n"/>
      <c r="E134" s="4" t="n"/>
      <c r="F134" s="4" t="n"/>
      <c r="G134" s="4" t="n"/>
    </row>
    <row r="135" ht="15.75" customHeight="1" s="85">
      <c r="A135" s="4" t="n"/>
      <c r="B135" s="4" t="n"/>
      <c r="C135" s="4" t="n"/>
      <c r="D135" s="4" t="n"/>
      <c r="E135" s="4" t="n"/>
      <c r="F135" s="4" t="n"/>
      <c r="G135" s="4" t="n"/>
    </row>
    <row r="136" ht="15.75" customHeight="1" s="85">
      <c r="A136" s="4" t="n"/>
      <c r="B136" s="4" t="n"/>
      <c r="C136" s="4" t="n"/>
      <c r="D136" s="4" t="n"/>
      <c r="E136" s="4" t="n"/>
      <c r="F136" s="4" t="n"/>
      <c r="G136" s="4" t="n"/>
    </row>
    <row r="137" ht="15.75" customHeight="1" s="85">
      <c r="A137" s="4" t="n"/>
      <c r="B137" s="4" t="n"/>
      <c r="C137" s="4" t="n"/>
      <c r="D137" s="4" t="n"/>
      <c r="E137" s="4" t="n"/>
      <c r="F137" s="4" t="n"/>
      <c r="G137" s="4" t="n"/>
    </row>
    <row r="138" ht="15.75" customHeight="1" s="85">
      <c r="A138" s="4" t="n"/>
      <c r="B138" s="4" t="n"/>
      <c r="C138" s="4" t="n"/>
      <c r="D138" s="4" t="n"/>
      <c r="E138" s="4" t="n"/>
      <c r="F138" s="4" t="n"/>
      <c r="G138" s="4" t="n"/>
    </row>
    <row r="139" ht="15.75" customHeight="1" s="85">
      <c r="A139" s="4" t="n"/>
      <c r="B139" s="4" t="n"/>
      <c r="C139" s="4" t="n"/>
      <c r="D139" s="4" t="n"/>
      <c r="E139" s="4" t="n"/>
      <c r="F139" s="4" t="n"/>
      <c r="G139" s="4" t="n"/>
    </row>
    <row r="140" ht="15.75" customHeight="1" s="85">
      <c r="A140" s="4" t="n"/>
      <c r="B140" s="4" t="n"/>
      <c r="C140" s="4" t="n"/>
      <c r="D140" s="4" t="n"/>
      <c r="E140" s="4" t="n"/>
      <c r="F140" s="4" t="n"/>
      <c r="G140" s="4" t="n"/>
    </row>
    <row r="141" ht="15.75" customHeight="1" s="85">
      <c r="A141" s="4" t="n"/>
      <c r="B141" s="4" t="n"/>
      <c r="C141" s="4" t="n"/>
      <c r="D141" s="4" t="n"/>
      <c r="E141" s="4" t="n"/>
      <c r="F141" s="4" t="n"/>
      <c r="G141" s="4" t="n"/>
    </row>
    <row r="142" ht="15.75" customHeight="1" s="85">
      <c r="A142" s="4" t="n"/>
      <c r="B142" s="4" t="n"/>
      <c r="C142" s="4" t="n"/>
      <c r="D142" s="4" t="n"/>
      <c r="E142" s="4" t="n"/>
      <c r="F142" s="4" t="n"/>
      <c r="G142" s="4" t="n"/>
    </row>
    <row r="143" ht="15.75" customHeight="1" s="85">
      <c r="A143" s="4" t="n"/>
      <c r="B143" s="4" t="n"/>
      <c r="C143" s="4" t="n"/>
      <c r="D143" s="4" t="n"/>
      <c r="E143" s="4" t="n"/>
      <c r="F143" s="4" t="n"/>
      <c r="G143" s="4" t="n"/>
    </row>
    <row r="144" ht="15.75" customHeight="1" s="85">
      <c r="A144" s="4" t="n"/>
      <c r="B144" s="4" t="n"/>
      <c r="C144" s="4" t="n"/>
      <c r="D144" s="4" t="n"/>
      <c r="E144" s="4" t="n"/>
      <c r="F144" s="4" t="n"/>
      <c r="G144" s="4" t="n"/>
    </row>
    <row r="145" ht="15.75" customHeight="1" s="85">
      <c r="A145" s="4" t="n"/>
      <c r="B145" s="4" t="n"/>
      <c r="C145" s="4" t="n"/>
      <c r="D145" s="4" t="n"/>
      <c r="E145" s="4" t="n"/>
      <c r="F145" s="4" t="n"/>
      <c r="G145" s="4" t="n"/>
    </row>
    <row r="146" ht="15.75" customHeight="1" s="85">
      <c r="A146" s="4" t="n"/>
      <c r="B146" s="4" t="n"/>
      <c r="C146" s="4" t="n"/>
      <c r="D146" s="4" t="n"/>
      <c r="E146" s="4" t="n"/>
      <c r="F146" s="4" t="n"/>
      <c r="G146" s="4" t="n"/>
    </row>
    <row r="147" ht="15.75" customHeight="1" s="85">
      <c r="A147" s="4" t="n"/>
      <c r="B147" s="4" t="n"/>
      <c r="C147" s="4" t="n"/>
      <c r="D147" s="4" t="n"/>
      <c r="E147" s="4" t="n"/>
      <c r="F147" s="4" t="n"/>
      <c r="G147" s="4" t="n"/>
    </row>
    <row r="148" ht="15.75" customHeight="1" s="85">
      <c r="A148" s="4" t="n"/>
      <c r="B148" s="4" t="n"/>
      <c r="C148" s="4" t="n"/>
      <c r="D148" s="4" t="n"/>
      <c r="E148" s="4" t="n"/>
      <c r="F148" s="4" t="n"/>
      <c r="G148" s="4" t="n"/>
    </row>
    <row r="149" ht="15.75" customHeight="1" s="85">
      <c r="A149" s="4" t="n"/>
      <c r="B149" s="4" t="n"/>
      <c r="C149" s="4" t="n"/>
      <c r="D149" s="4" t="n"/>
      <c r="E149" s="4" t="n"/>
      <c r="F149" s="4" t="n"/>
      <c r="G149" s="4" t="n"/>
    </row>
    <row r="150" ht="15.75" customHeight="1" s="85">
      <c r="A150" s="4" t="n"/>
      <c r="B150" s="4" t="n"/>
      <c r="C150" s="4" t="n"/>
      <c r="D150" s="4" t="n"/>
      <c r="E150" s="4" t="n"/>
      <c r="F150" s="4" t="n"/>
      <c r="G150" s="4" t="n"/>
    </row>
    <row r="151" ht="15.75" customHeight="1" s="85">
      <c r="A151" s="4" t="n"/>
      <c r="B151" s="4" t="n"/>
      <c r="C151" s="4" t="n"/>
      <c r="D151" s="4" t="n"/>
      <c r="E151" s="4" t="n"/>
      <c r="F151" s="4" t="n"/>
      <c r="G151" s="4" t="n"/>
    </row>
    <row r="152" ht="15.75" customHeight="1" s="85">
      <c r="A152" s="4" t="n"/>
      <c r="B152" s="4" t="n"/>
      <c r="C152" s="4" t="n"/>
      <c r="D152" s="4" t="n"/>
      <c r="E152" s="4" t="n"/>
      <c r="F152" s="4" t="n"/>
      <c r="G152" s="4" t="n"/>
    </row>
    <row r="153" ht="15.75" customHeight="1" s="85">
      <c r="A153" s="4" t="n"/>
      <c r="B153" s="4" t="n"/>
      <c r="C153" s="4" t="n"/>
      <c r="D153" s="4" t="n"/>
      <c r="E153" s="4" t="n"/>
      <c r="F153" s="4" t="n"/>
      <c r="G153" s="4" t="n"/>
    </row>
    <row r="154" ht="15.75" customHeight="1" s="85">
      <c r="A154" s="4" t="n"/>
      <c r="B154" s="4" t="n"/>
      <c r="C154" s="4" t="n"/>
      <c r="D154" s="4" t="n"/>
      <c r="E154" s="4" t="n"/>
      <c r="F154" s="4" t="n"/>
      <c r="G154" s="4" t="n"/>
    </row>
    <row r="155" ht="15.75" customHeight="1" s="85">
      <c r="A155" s="4" t="n"/>
      <c r="B155" s="4" t="n"/>
      <c r="C155" s="4" t="n"/>
      <c r="D155" s="4" t="n"/>
      <c r="E155" s="4" t="n"/>
      <c r="F155" s="4" t="n"/>
      <c r="G155" s="4" t="n"/>
    </row>
    <row r="156" ht="15.75" customHeight="1" s="85">
      <c r="A156" s="4" t="n"/>
      <c r="B156" s="4" t="n"/>
      <c r="C156" s="4" t="n"/>
      <c r="D156" s="4" t="n"/>
      <c r="E156" s="4" t="n"/>
      <c r="F156" s="4" t="n"/>
      <c r="G156" s="4" t="n"/>
    </row>
    <row r="157" ht="15.75" customHeight="1" s="85">
      <c r="A157" s="4" t="n"/>
      <c r="B157" s="4" t="n"/>
      <c r="C157" s="4" t="n"/>
      <c r="D157" s="4" t="n"/>
      <c r="E157" s="4" t="n"/>
      <c r="F157" s="4" t="n"/>
      <c r="G157" s="4" t="n"/>
    </row>
    <row r="158" ht="15.75" customHeight="1" s="85">
      <c r="A158" s="4" t="n"/>
      <c r="B158" s="4" t="n"/>
      <c r="C158" s="4" t="n"/>
      <c r="D158" s="4" t="n"/>
      <c r="E158" s="4" t="n"/>
      <c r="F158" s="4" t="n"/>
      <c r="G158" s="4" t="n"/>
    </row>
    <row r="159" ht="15.75" customHeight="1" s="85">
      <c r="A159" s="4" t="n"/>
      <c r="B159" s="4" t="n"/>
      <c r="C159" s="4" t="n"/>
      <c r="D159" s="4" t="n"/>
      <c r="E159" s="4" t="n"/>
      <c r="F159" s="4" t="n"/>
      <c r="G159" s="4" t="n"/>
    </row>
    <row r="160" ht="15.75" customHeight="1" s="85">
      <c r="A160" s="4" t="n"/>
      <c r="B160" s="4" t="n"/>
      <c r="C160" s="4" t="n"/>
      <c r="D160" s="4" t="n"/>
      <c r="E160" s="4" t="n"/>
      <c r="F160" s="4" t="n"/>
      <c r="G160" s="4" t="n"/>
    </row>
    <row r="161" ht="15.75" customHeight="1" s="85">
      <c r="A161" s="4" t="n"/>
      <c r="B161" s="4" t="n"/>
      <c r="C161" s="4" t="n"/>
      <c r="D161" s="4" t="n"/>
      <c r="E161" s="4" t="n"/>
      <c r="F161" s="4" t="n"/>
      <c r="G161" s="4" t="n"/>
    </row>
    <row r="162" ht="15.75" customHeight="1" s="85">
      <c r="A162" s="4" t="n"/>
      <c r="B162" s="4" t="n"/>
      <c r="C162" s="4" t="n"/>
      <c r="D162" s="4" t="n"/>
      <c r="E162" s="4" t="n"/>
      <c r="F162" s="4" t="n"/>
      <c r="G162" s="4" t="n"/>
    </row>
    <row r="163" ht="15.75" customHeight="1" s="85">
      <c r="A163" s="4" t="n"/>
      <c r="B163" s="4" t="n"/>
      <c r="C163" s="4" t="n"/>
      <c r="D163" s="4" t="n"/>
      <c r="E163" s="4" t="n"/>
      <c r="F163" s="4" t="n"/>
      <c r="G163" s="4" t="n"/>
    </row>
    <row r="164" ht="15.75" customHeight="1" s="85">
      <c r="A164" s="4" t="n"/>
      <c r="B164" s="4" t="n"/>
      <c r="C164" s="4" t="n"/>
      <c r="D164" s="4" t="n"/>
      <c r="E164" s="4" t="n"/>
      <c r="F164" s="4" t="n"/>
      <c r="G164" s="4" t="n"/>
    </row>
    <row r="165" ht="15.75" customHeight="1" s="85">
      <c r="A165" s="4" t="n"/>
      <c r="B165" s="4" t="n"/>
      <c r="C165" s="4" t="n"/>
      <c r="D165" s="4" t="n"/>
      <c r="E165" s="4" t="n"/>
      <c r="F165" s="4" t="n"/>
      <c r="G165" s="4" t="n"/>
    </row>
    <row r="166" ht="15.75" customHeight="1" s="85">
      <c r="A166" s="4" t="n"/>
      <c r="B166" s="4" t="n"/>
      <c r="C166" s="4" t="n"/>
      <c r="D166" s="4" t="n"/>
      <c r="E166" s="4" t="n"/>
      <c r="F166" s="4" t="n"/>
      <c r="G166" s="4" t="n"/>
    </row>
    <row r="167" ht="15.75" customHeight="1" s="85">
      <c r="A167" s="4" t="n"/>
      <c r="B167" s="4" t="n"/>
      <c r="C167" s="4" t="n"/>
      <c r="D167" s="4" t="n"/>
      <c r="E167" s="4" t="n"/>
      <c r="F167" s="4" t="n"/>
      <c r="G167" s="4" t="n"/>
    </row>
    <row r="168" ht="15.75" customHeight="1" s="85">
      <c r="A168" s="4" t="n"/>
      <c r="B168" s="4" t="n"/>
      <c r="C168" s="4" t="n"/>
      <c r="D168" s="4" t="n"/>
      <c r="E168" s="4" t="n"/>
      <c r="F168" s="4" t="n"/>
      <c r="G168" s="4" t="n"/>
    </row>
    <row r="169" ht="15.75" customHeight="1" s="85">
      <c r="A169" s="4" t="n"/>
      <c r="B169" s="4" t="n"/>
      <c r="C169" s="4" t="n"/>
      <c r="D169" s="4" t="n"/>
      <c r="E169" s="4" t="n"/>
      <c r="F169" s="4" t="n"/>
      <c r="G169" s="4" t="n"/>
    </row>
    <row r="170" ht="15.75" customHeight="1" s="85">
      <c r="A170" s="4" t="n"/>
      <c r="B170" s="4" t="n"/>
      <c r="C170" s="4" t="n"/>
      <c r="D170" s="4" t="n"/>
      <c r="E170" s="4" t="n"/>
      <c r="F170" s="4" t="n"/>
      <c r="G170" s="4" t="n"/>
    </row>
    <row r="171" ht="15.75" customHeight="1" s="85">
      <c r="A171" s="4" t="n"/>
      <c r="B171" s="4" t="n"/>
      <c r="C171" s="4" t="n"/>
      <c r="D171" s="4" t="n"/>
      <c r="E171" s="4" t="n"/>
      <c r="F171" s="4" t="n"/>
      <c r="G171" s="4" t="n"/>
    </row>
    <row r="172" ht="15.75" customHeight="1" s="85">
      <c r="A172" s="4" t="n"/>
      <c r="B172" s="4" t="n"/>
      <c r="C172" s="4" t="n"/>
      <c r="D172" s="4" t="n"/>
      <c r="E172" s="4" t="n"/>
      <c r="F172" s="4" t="n"/>
      <c r="G172" s="4" t="n"/>
    </row>
    <row r="173" ht="15.75" customHeight="1" s="85">
      <c r="A173" s="4" t="n"/>
      <c r="B173" s="4" t="n"/>
      <c r="C173" s="4" t="n"/>
      <c r="D173" s="4" t="n"/>
      <c r="E173" s="4" t="n"/>
      <c r="F173" s="4" t="n"/>
      <c r="G173" s="4" t="n"/>
    </row>
    <row r="174" ht="15.75" customHeight="1" s="85">
      <c r="A174" s="4" t="n"/>
      <c r="B174" s="4" t="n"/>
      <c r="C174" s="4" t="n"/>
      <c r="D174" s="4" t="n"/>
      <c r="E174" s="4" t="n"/>
      <c r="F174" s="4" t="n"/>
      <c r="G174" s="4" t="n"/>
    </row>
    <row r="175" ht="15.75" customHeight="1" s="85">
      <c r="A175" s="4" t="n"/>
      <c r="B175" s="4" t="n"/>
      <c r="C175" s="4" t="n"/>
      <c r="D175" s="4" t="n"/>
      <c r="E175" s="4" t="n"/>
      <c r="F175" s="4" t="n"/>
      <c r="G175" s="4" t="n"/>
    </row>
    <row r="176" ht="15.75" customHeight="1" s="85">
      <c r="A176" s="4" t="n"/>
      <c r="B176" s="4" t="n"/>
      <c r="C176" s="4" t="n"/>
      <c r="D176" s="4" t="n"/>
      <c r="E176" s="4" t="n"/>
      <c r="F176" s="4" t="n"/>
      <c r="G176" s="4" t="n"/>
    </row>
    <row r="177" ht="15.75" customHeight="1" s="85">
      <c r="A177" s="4" t="n"/>
      <c r="B177" s="4" t="n"/>
      <c r="C177" s="4" t="n"/>
      <c r="D177" s="4" t="n"/>
      <c r="E177" s="4" t="n"/>
      <c r="F177" s="4" t="n"/>
      <c r="G177" s="4" t="n"/>
    </row>
    <row r="178" ht="15.75" customHeight="1" s="85">
      <c r="A178" s="4" t="n"/>
      <c r="B178" s="4" t="n"/>
      <c r="C178" s="4" t="n"/>
      <c r="D178" s="4" t="n"/>
      <c r="E178" s="4" t="n"/>
      <c r="F178" s="4" t="n"/>
      <c r="G178" s="4" t="n"/>
    </row>
    <row r="179" ht="15.75" customHeight="1" s="85">
      <c r="A179" s="4" t="n"/>
      <c r="B179" s="4" t="n"/>
      <c r="C179" s="4" t="n"/>
      <c r="D179" s="4" t="n"/>
      <c r="E179" s="4" t="n"/>
      <c r="F179" s="4" t="n"/>
      <c r="G179" s="4" t="n"/>
    </row>
    <row r="180" ht="15.75" customHeight="1" s="85">
      <c r="A180" s="4" t="n"/>
      <c r="B180" s="4" t="n"/>
      <c r="C180" s="4" t="n"/>
      <c r="D180" s="4" t="n"/>
      <c r="E180" s="4" t="n"/>
      <c r="F180" s="4" t="n"/>
      <c r="G180" s="4" t="n"/>
    </row>
    <row r="181" ht="15.75" customHeight="1" s="85">
      <c r="A181" s="4" t="n"/>
      <c r="B181" s="4" t="n"/>
      <c r="C181" s="4" t="n"/>
      <c r="D181" s="4" t="n"/>
      <c r="E181" s="4" t="n"/>
      <c r="F181" s="4" t="n"/>
      <c r="G181" s="4" t="n"/>
    </row>
    <row r="182" ht="15.75" customHeight="1" s="85">
      <c r="A182" s="4" t="n"/>
      <c r="B182" s="4" t="n"/>
      <c r="C182" s="4" t="n"/>
      <c r="D182" s="4" t="n"/>
      <c r="E182" s="4" t="n"/>
      <c r="F182" s="4" t="n"/>
      <c r="G182" s="4" t="n"/>
    </row>
    <row r="183" ht="15.75" customHeight="1" s="85">
      <c r="A183" s="4" t="n"/>
      <c r="B183" s="4" t="n"/>
      <c r="C183" s="4" t="n"/>
      <c r="D183" s="4" t="n"/>
      <c r="E183" s="4" t="n"/>
      <c r="F183" s="4" t="n"/>
      <c r="G183" s="4" t="n"/>
    </row>
    <row r="184" ht="15.75" customHeight="1" s="85">
      <c r="A184" s="4" t="n"/>
      <c r="B184" s="4" t="n"/>
      <c r="C184" s="4" t="n"/>
      <c r="D184" s="4" t="n"/>
      <c r="E184" s="4" t="n"/>
      <c r="F184" s="4" t="n"/>
      <c r="G184" s="4" t="n"/>
    </row>
    <row r="185" ht="15.75" customHeight="1" s="85">
      <c r="A185" s="4" t="n"/>
      <c r="B185" s="4" t="n"/>
      <c r="C185" s="4" t="n"/>
      <c r="D185" s="4" t="n"/>
      <c r="E185" s="4" t="n"/>
      <c r="F185" s="4" t="n"/>
      <c r="G185" s="4" t="n"/>
    </row>
    <row r="186" ht="15.75" customHeight="1" s="85">
      <c r="A186" s="4" t="n"/>
      <c r="B186" s="4" t="n"/>
      <c r="C186" s="4" t="n"/>
      <c r="D186" s="4" t="n"/>
      <c r="E186" s="4" t="n"/>
      <c r="F186" s="4" t="n"/>
      <c r="G186" s="4" t="n"/>
    </row>
    <row r="187" ht="15.75" customHeight="1" s="85">
      <c r="A187" s="4" t="n"/>
      <c r="B187" s="4" t="n"/>
      <c r="C187" s="4" t="n"/>
      <c r="D187" s="4" t="n"/>
      <c r="E187" s="4" t="n"/>
      <c r="F187" s="4" t="n"/>
      <c r="G187" s="4" t="n"/>
    </row>
    <row r="188" ht="15.75" customHeight="1" s="85">
      <c r="A188" s="4" t="n"/>
      <c r="B188" s="4" t="n"/>
      <c r="C188" s="4" t="n"/>
      <c r="D188" s="4" t="n"/>
      <c r="E188" s="4" t="n"/>
      <c r="F188" s="4" t="n"/>
      <c r="G188" s="4" t="n"/>
    </row>
    <row r="189" ht="15.75" customHeight="1" s="85">
      <c r="A189" s="4" t="n"/>
      <c r="B189" s="4" t="n"/>
      <c r="C189" s="4" t="n"/>
      <c r="D189" s="4" t="n"/>
      <c r="E189" s="4" t="n"/>
      <c r="F189" s="4" t="n"/>
      <c r="G189" s="4" t="n"/>
    </row>
    <row r="190" ht="15.75" customHeight="1" s="85">
      <c r="A190" s="4" t="n"/>
      <c r="B190" s="4" t="n"/>
      <c r="C190" s="4" t="n"/>
      <c r="D190" s="4" t="n"/>
      <c r="E190" s="4" t="n"/>
      <c r="F190" s="4" t="n"/>
      <c r="G190" s="4" t="n"/>
    </row>
    <row r="191" ht="15.75" customHeight="1" s="85">
      <c r="A191" s="4" t="n"/>
      <c r="B191" s="4" t="n"/>
      <c r="C191" s="4" t="n"/>
      <c r="D191" s="4" t="n"/>
      <c r="E191" s="4" t="n"/>
      <c r="F191" s="4" t="n"/>
      <c r="G191" s="4" t="n"/>
    </row>
    <row r="192" ht="15.75" customHeight="1" s="85">
      <c r="A192" s="4" t="n"/>
      <c r="B192" s="4" t="n"/>
      <c r="C192" s="4" t="n"/>
      <c r="D192" s="4" t="n"/>
      <c r="E192" s="4" t="n"/>
      <c r="F192" s="4" t="n"/>
      <c r="G192" s="4" t="n"/>
    </row>
    <row r="193" ht="15.75" customHeight="1" s="85">
      <c r="A193" s="4" t="n"/>
      <c r="B193" s="4" t="n"/>
      <c r="C193" s="4" t="n"/>
      <c r="D193" s="4" t="n"/>
      <c r="E193" s="4" t="n"/>
      <c r="F193" s="4" t="n"/>
      <c r="G193" s="4" t="n"/>
    </row>
    <row r="194" ht="15.75" customHeight="1" s="85">
      <c r="A194" s="4" t="n"/>
      <c r="B194" s="4" t="n"/>
      <c r="C194" s="4" t="n"/>
      <c r="D194" s="4" t="n"/>
      <c r="E194" s="4" t="n"/>
      <c r="F194" s="4" t="n"/>
      <c r="G194" s="4" t="n"/>
    </row>
    <row r="195" ht="15.75" customHeight="1" s="85">
      <c r="A195" s="4" t="n"/>
      <c r="B195" s="4" t="n"/>
      <c r="C195" s="4" t="n"/>
      <c r="D195" s="4" t="n"/>
      <c r="E195" s="4" t="n"/>
      <c r="F195" s="4" t="n"/>
      <c r="G195" s="4" t="n"/>
    </row>
    <row r="196" ht="15.75" customHeight="1" s="85">
      <c r="A196" s="4" t="n"/>
      <c r="B196" s="4" t="n"/>
      <c r="C196" s="4" t="n"/>
      <c r="D196" s="4" t="n"/>
      <c r="E196" s="4" t="n"/>
      <c r="F196" s="4" t="n"/>
      <c r="G196" s="4" t="n"/>
    </row>
    <row r="197" ht="15.75" customHeight="1" s="85">
      <c r="A197" s="4" t="n"/>
      <c r="B197" s="4" t="n"/>
      <c r="C197" s="4" t="n"/>
      <c r="D197" s="4" t="n"/>
      <c r="E197" s="4" t="n"/>
      <c r="F197" s="4" t="n"/>
      <c r="G197" s="4" t="n"/>
    </row>
    <row r="198" ht="15.75" customHeight="1" s="85">
      <c r="A198" s="4" t="n"/>
      <c r="B198" s="4" t="n"/>
      <c r="C198" s="4" t="n"/>
      <c r="D198" s="4" t="n"/>
      <c r="E198" s="4" t="n"/>
      <c r="F198" s="4" t="n"/>
      <c r="G198" s="4" t="n"/>
    </row>
    <row r="199" ht="15.75" customHeight="1" s="85">
      <c r="A199" s="4" t="n"/>
      <c r="B199" s="4" t="n"/>
      <c r="C199" s="4" t="n"/>
      <c r="D199" s="4" t="n"/>
      <c r="E199" s="4" t="n"/>
      <c r="F199" s="4" t="n"/>
      <c r="G199" s="4" t="n"/>
    </row>
    <row r="200" ht="15.75" customHeight="1" s="85">
      <c r="A200" s="4" t="n"/>
      <c r="B200" s="4" t="n"/>
      <c r="C200" s="4" t="n"/>
      <c r="D200" s="4" t="n"/>
      <c r="E200" s="4" t="n"/>
      <c r="F200" s="4" t="n"/>
      <c r="G200" s="4" t="n"/>
    </row>
    <row r="201" ht="15.75" customHeight="1" s="85">
      <c r="A201" s="4" t="n"/>
      <c r="B201" s="4" t="n"/>
      <c r="C201" s="4" t="n"/>
      <c r="D201" s="4" t="n"/>
      <c r="E201" s="4" t="n"/>
      <c r="F201" s="4" t="n"/>
      <c r="G201" s="4" t="n"/>
    </row>
    <row r="202" ht="15.75" customHeight="1" s="85">
      <c r="A202" s="4" t="n"/>
      <c r="B202" s="4" t="n"/>
      <c r="C202" s="4" t="n"/>
      <c r="D202" s="4" t="n"/>
      <c r="E202" s="4" t="n"/>
      <c r="F202" s="4" t="n"/>
      <c r="G202" s="4" t="n"/>
    </row>
    <row r="203" ht="15.75" customHeight="1" s="85">
      <c r="A203" s="4" t="n"/>
      <c r="B203" s="4" t="n"/>
      <c r="C203" s="4" t="n"/>
      <c r="D203" s="4" t="n"/>
      <c r="E203" s="4" t="n"/>
      <c r="F203" s="4" t="n"/>
      <c r="G203" s="4" t="n"/>
    </row>
    <row r="204" ht="15.75" customHeight="1" s="85">
      <c r="A204" s="4" t="n"/>
      <c r="B204" s="4" t="n"/>
      <c r="C204" s="4" t="n"/>
      <c r="D204" s="4" t="n"/>
      <c r="E204" s="4" t="n"/>
      <c r="F204" s="4" t="n"/>
      <c r="G204" s="4" t="n"/>
    </row>
    <row r="205" ht="15.75" customHeight="1" s="85">
      <c r="A205" s="4" t="n"/>
      <c r="B205" s="4" t="n"/>
      <c r="C205" s="4" t="n"/>
      <c r="D205" s="4" t="n"/>
      <c r="E205" s="4" t="n"/>
      <c r="F205" s="4" t="n"/>
      <c r="G205" s="4" t="n"/>
    </row>
    <row r="206" ht="15.75" customHeight="1" s="85">
      <c r="A206" s="4" t="n"/>
      <c r="B206" s="4" t="n"/>
      <c r="C206" s="4" t="n"/>
      <c r="D206" s="4" t="n"/>
      <c r="E206" s="4" t="n"/>
      <c r="F206" s="4" t="n"/>
      <c r="G206" s="4" t="n"/>
    </row>
    <row r="207" ht="15.75" customHeight="1" s="85">
      <c r="A207" s="4" t="n"/>
      <c r="B207" s="4" t="n"/>
      <c r="C207" s="4" t="n"/>
      <c r="D207" s="4" t="n"/>
      <c r="E207" s="4" t="n"/>
      <c r="F207" s="4" t="n"/>
      <c r="G207" s="4" t="n"/>
    </row>
    <row r="208" ht="15.75" customHeight="1" s="85">
      <c r="A208" s="4" t="n"/>
      <c r="B208" s="4" t="n"/>
      <c r="C208" s="4" t="n"/>
      <c r="D208" s="4" t="n"/>
      <c r="E208" s="4" t="n"/>
      <c r="F208" s="4" t="n"/>
      <c r="G208" s="4" t="n"/>
    </row>
    <row r="209" ht="15.75" customHeight="1" s="85">
      <c r="A209" s="4" t="n"/>
      <c r="B209" s="4" t="n"/>
      <c r="C209" s="4" t="n"/>
      <c r="D209" s="4" t="n"/>
      <c r="E209" s="4" t="n"/>
      <c r="F209" s="4" t="n"/>
      <c r="G209" s="4" t="n"/>
    </row>
    <row r="210" ht="15.75" customHeight="1" s="85">
      <c r="A210" s="4" t="n"/>
      <c r="B210" s="4" t="n"/>
      <c r="C210" s="4" t="n"/>
      <c r="D210" s="4" t="n"/>
      <c r="E210" s="4" t="n"/>
      <c r="F210" s="4" t="n"/>
      <c r="G210" s="4" t="n"/>
    </row>
    <row r="211" ht="15.75" customHeight="1" s="85">
      <c r="A211" s="4" t="n"/>
      <c r="B211" s="4" t="n"/>
      <c r="C211" s="4" t="n"/>
      <c r="D211" s="4" t="n"/>
      <c r="E211" s="4" t="n"/>
      <c r="F211" s="4" t="n"/>
      <c r="G211" s="4" t="n"/>
    </row>
    <row r="212" ht="15.75" customHeight="1" s="85">
      <c r="A212" s="4" t="n"/>
      <c r="B212" s="4" t="n"/>
      <c r="C212" s="4" t="n"/>
      <c r="D212" s="4" t="n"/>
      <c r="E212" s="4" t="n"/>
      <c r="F212" s="4" t="n"/>
      <c r="G212" s="4" t="n"/>
    </row>
    <row r="213" ht="15.75" customHeight="1" s="85">
      <c r="A213" s="4" t="n"/>
      <c r="B213" s="4" t="n"/>
      <c r="C213" s="4" t="n"/>
      <c r="D213" s="4" t="n"/>
      <c r="E213" s="4" t="n"/>
      <c r="F213" s="4" t="n"/>
      <c r="G213" s="4" t="n"/>
    </row>
    <row r="214" ht="15.75" customHeight="1" s="85">
      <c r="A214" s="4" t="n"/>
      <c r="B214" s="4" t="n"/>
      <c r="C214" s="4" t="n"/>
      <c r="D214" s="4" t="n"/>
      <c r="E214" s="4" t="n"/>
      <c r="F214" s="4" t="n"/>
      <c r="G214" s="4" t="n"/>
    </row>
    <row r="215" ht="15.75" customHeight="1" s="85">
      <c r="A215" s="4" t="n"/>
      <c r="B215" s="4" t="n"/>
      <c r="C215" s="4" t="n"/>
      <c r="D215" s="4" t="n"/>
      <c r="E215" s="4" t="n"/>
      <c r="F215" s="4" t="n"/>
      <c r="G215" s="4" t="n"/>
    </row>
    <row r="216" ht="15.75" customHeight="1" s="85">
      <c r="A216" s="4" t="n"/>
      <c r="B216" s="4" t="n"/>
      <c r="C216" s="4" t="n"/>
      <c r="D216" s="4" t="n"/>
      <c r="E216" s="4" t="n"/>
      <c r="F216" s="4" t="n"/>
      <c r="G216" s="4" t="n"/>
    </row>
    <row r="217" ht="15.75" customHeight="1" s="85">
      <c r="A217" s="4" t="n"/>
      <c r="B217" s="4" t="n"/>
      <c r="C217" s="4" t="n"/>
      <c r="D217" s="4" t="n"/>
      <c r="E217" s="4" t="n"/>
      <c r="F217" s="4" t="n"/>
      <c r="G217" s="4" t="n"/>
    </row>
    <row r="218" ht="15.75" customHeight="1" s="85">
      <c r="A218" s="4" t="n"/>
      <c r="B218" s="4" t="n"/>
      <c r="C218" s="4" t="n"/>
      <c r="D218" s="4" t="n"/>
      <c r="E218" s="4" t="n"/>
      <c r="F218" s="4" t="n"/>
      <c r="G218" s="4" t="n"/>
    </row>
    <row r="219" ht="15.75" customHeight="1" s="85">
      <c r="A219" s="4" t="n"/>
      <c r="B219" s="4" t="n"/>
      <c r="C219" s="4" t="n"/>
      <c r="D219" s="4" t="n"/>
      <c r="E219" s="4" t="n"/>
      <c r="F219" s="4" t="n"/>
      <c r="G219" s="4" t="n"/>
    </row>
    <row r="220" ht="15.75" customHeight="1" s="85">
      <c r="A220" s="4" t="n"/>
      <c r="B220" s="4" t="n"/>
      <c r="C220" s="4" t="n"/>
      <c r="D220" s="4" t="n"/>
      <c r="E220" s="4" t="n"/>
      <c r="F220" s="4" t="n"/>
      <c r="G220" s="4" t="n"/>
    </row>
    <row r="221" ht="15.75" customHeight="1" s="85">
      <c r="A221" s="4" t="n"/>
      <c r="B221" s="4" t="n"/>
      <c r="C221" s="4" t="n"/>
      <c r="D221" s="4" t="n"/>
      <c r="E221" s="4" t="n"/>
      <c r="F221" s="4" t="n"/>
      <c r="G221" s="4" t="n"/>
    </row>
    <row r="222" ht="15.75" customHeight="1" s="85">
      <c r="A222" s="4" t="n"/>
      <c r="B222" s="4" t="n"/>
      <c r="C222" s="4" t="n"/>
      <c r="D222" s="4" t="n"/>
      <c r="E222" s="4" t="n"/>
      <c r="F222" s="4" t="n"/>
      <c r="G222" s="4" t="n"/>
    </row>
    <row r="223" ht="15.75" customHeight="1" s="85">
      <c r="A223" s="4" t="n"/>
      <c r="B223" s="4" t="n"/>
      <c r="C223" s="4" t="n"/>
      <c r="D223" s="4" t="n"/>
      <c r="E223" s="4" t="n"/>
      <c r="F223" s="4" t="n"/>
      <c r="G223" s="4" t="n"/>
    </row>
    <row r="224" ht="15.75" customHeight="1" s="85">
      <c r="A224" s="4" t="n"/>
      <c r="B224" s="4" t="n"/>
      <c r="C224" s="4" t="n"/>
      <c r="D224" s="4" t="n"/>
      <c r="E224" s="4" t="n"/>
      <c r="F224" s="4" t="n"/>
      <c r="G224" s="4" t="n"/>
    </row>
    <row r="225" ht="15.75" customHeight="1" s="85">
      <c r="A225" s="4" t="n"/>
      <c r="B225" s="4" t="n"/>
      <c r="C225" s="4" t="n"/>
      <c r="D225" s="4" t="n"/>
      <c r="E225" s="4" t="n"/>
      <c r="F225" s="4" t="n"/>
      <c r="G225" s="4" t="n"/>
    </row>
    <row r="226" ht="15.75" customHeight="1" s="85">
      <c r="A226" s="4" t="n"/>
      <c r="B226" s="4" t="n"/>
      <c r="C226" s="4" t="n"/>
      <c r="D226" s="4" t="n"/>
      <c r="E226" s="4" t="n"/>
      <c r="F226" s="4" t="n"/>
      <c r="G226" s="4" t="n"/>
    </row>
    <row r="227" ht="15.75" customHeight="1" s="85">
      <c r="A227" s="4" t="n"/>
      <c r="B227" s="4" t="n"/>
      <c r="C227" s="4" t="n"/>
      <c r="D227" s="4" t="n"/>
      <c r="E227" s="4" t="n"/>
      <c r="F227" s="4" t="n"/>
      <c r="G227" s="4" t="n"/>
    </row>
    <row r="228" ht="15.75" customHeight="1" s="85">
      <c r="A228" s="4" t="n"/>
      <c r="B228" s="4" t="n"/>
      <c r="C228" s="4" t="n"/>
      <c r="D228" s="4" t="n"/>
      <c r="E228" s="4" t="n"/>
      <c r="F228" s="4" t="n"/>
      <c r="G228" s="4" t="n"/>
    </row>
    <row r="229" ht="15.75" customHeight="1" s="85">
      <c r="A229" s="4" t="n"/>
      <c r="B229" s="4" t="n"/>
      <c r="C229" s="4" t="n"/>
      <c r="D229" s="4" t="n"/>
      <c r="E229" s="4" t="n"/>
      <c r="F229" s="4" t="n"/>
      <c r="G229" s="4" t="n"/>
    </row>
    <row r="230" ht="15.75" customHeight="1" s="85">
      <c r="A230" s="4" t="n"/>
      <c r="B230" s="4" t="n"/>
      <c r="C230" s="4" t="n"/>
      <c r="D230" s="4" t="n"/>
      <c r="E230" s="4" t="n"/>
      <c r="F230" s="4" t="n"/>
      <c r="G230" s="4" t="n"/>
    </row>
    <row r="231" ht="15.75" customHeight="1" s="85">
      <c r="A231" s="4" t="n"/>
      <c r="B231" s="4" t="n"/>
      <c r="C231" s="4" t="n"/>
      <c r="D231" s="4" t="n"/>
      <c r="E231" s="4" t="n"/>
      <c r="F231" s="4" t="n"/>
      <c r="G231" s="4" t="n"/>
    </row>
    <row r="232" ht="15.75" customHeight="1" s="85">
      <c r="A232" s="4" t="n"/>
      <c r="B232" s="4" t="n"/>
      <c r="C232" s="4" t="n"/>
      <c r="D232" s="4" t="n"/>
      <c r="E232" s="4" t="n"/>
      <c r="F232" s="4" t="n"/>
      <c r="G232" s="4" t="n"/>
    </row>
    <row r="233" ht="15.75" customHeight="1" s="85">
      <c r="A233" s="4" t="n"/>
      <c r="B233" s="4" t="n"/>
      <c r="C233" s="4" t="n"/>
      <c r="D233" s="4" t="n"/>
      <c r="E233" s="4" t="n"/>
      <c r="F233" s="4" t="n"/>
      <c r="G233" s="4" t="n"/>
    </row>
    <row r="234" ht="15.75" customHeight="1" s="85">
      <c r="A234" s="4" t="n"/>
      <c r="B234" s="4" t="n"/>
      <c r="C234" s="4" t="n"/>
      <c r="D234" s="4" t="n"/>
      <c r="E234" s="4" t="n"/>
      <c r="F234" s="4" t="n"/>
      <c r="G234" s="4" t="n"/>
    </row>
    <row r="235" ht="15.75" customHeight="1" s="85">
      <c r="A235" s="4" t="n"/>
      <c r="B235" s="4" t="n"/>
      <c r="C235" s="4" t="n"/>
      <c r="D235" s="4" t="n"/>
      <c r="E235" s="4" t="n"/>
      <c r="F235" s="4" t="n"/>
      <c r="G235" s="4" t="n"/>
    </row>
    <row r="236" ht="15.75" customHeight="1" s="85">
      <c r="A236" s="4" t="n"/>
      <c r="B236" s="4" t="n"/>
      <c r="C236" s="4" t="n"/>
      <c r="D236" s="4" t="n"/>
      <c r="E236" s="4" t="n"/>
      <c r="F236" s="4" t="n"/>
      <c r="G236" s="4" t="n"/>
    </row>
    <row r="237" ht="15.75" customHeight="1" s="85">
      <c r="A237" s="4" t="n"/>
      <c r="B237" s="4" t="n"/>
      <c r="C237" s="4" t="n"/>
      <c r="D237" s="4" t="n"/>
      <c r="E237" s="4" t="n"/>
      <c r="F237" s="4" t="n"/>
      <c r="G237" s="4" t="n"/>
    </row>
    <row r="238" ht="15.75" customHeight="1" s="85">
      <c r="A238" s="4" t="n"/>
      <c r="B238" s="4" t="n"/>
      <c r="C238" s="4" t="n"/>
      <c r="D238" s="4" t="n"/>
      <c r="E238" s="4" t="n"/>
      <c r="F238" s="4" t="n"/>
      <c r="G238" s="4" t="n"/>
    </row>
    <row r="239" ht="15.75" customHeight="1" s="85">
      <c r="A239" s="4" t="n"/>
      <c r="B239" s="4" t="n"/>
      <c r="C239" s="4" t="n"/>
      <c r="D239" s="4" t="n"/>
      <c r="E239" s="4" t="n"/>
      <c r="F239" s="4" t="n"/>
      <c r="G239" s="4" t="n"/>
    </row>
    <row r="240" ht="15.75" customHeight="1" s="85">
      <c r="A240" s="4" t="n"/>
      <c r="B240" s="4" t="n"/>
      <c r="C240" s="4" t="n"/>
      <c r="D240" s="4" t="n"/>
      <c r="E240" s="4" t="n"/>
      <c r="F240" s="4" t="n"/>
      <c r="G240" s="4" t="n"/>
    </row>
    <row r="241" ht="15.75" customHeight="1" s="85">
      <c r="A241" s="4" t="n"/>
      <c r="B241" s="4" t="n"/>
      <c r="C241" s="4" t="n"/>
      <c r="D241" s="4" t="n"/>
      <c r="E241" s="4" t="n"/>
      <c r="F241" s="4" t="n"/>
      <c r="G241" s="4" t="n"/>
    </row>
    <row r="242" ht="15.75" customHeight="1" s="85">
      <c r="A242" s="4" t="n"/>
      <c r="B242" s="4" t="n"/>
      <c r="C242" s="4" t="n"/>
      <c r="D242" s="4" t="n"/>
      <c r="E242" s="4" t="n"/>
      <c r="F242" s="4" t="n"/>
      <c r="G242" s="4" t="n"/>
    </row>
    <row r="243" ht="15.75" customHeight="1" s="85">
      <c r="A243" s="4" t="n"/>
      <c r="B243" s="4" t="n"/>
      <c r="C243" s="4" t="n"/>
      <c r="D243" s="4" t="n"/>
      <c r="E243" s="4" t="n"/>
      <c r="F243" s="4" t="n"/>
      <c r="G243" s="4" t="n"/>
    </row>
    <row r="244" ht="15.75" customHeight="1" s="85">
      <c r="A244" s="4" t="n"/>
      <c r="B244" s="4" t="n"/>
      <c r="C244" s="4" t="n"/>
      <c r="D244" s="4" t="n"/>
      <c r="E244" s="4" t="n"/>
      <c r="F244" s="4" t="n"/>
      <c r="G244" s="4" t="n"/>
    </row>
    <row r="245" ht="15.75" customHeight="1" s="85">
      <c r="A245" s="4" t="n"/>
      <c r="B245" s="4" t="n"/>
      <c r="C245" s="4" t="n"/>
      <c r="D245" s="4" t="n"/>
      <c r="E245" s="4" t="n"/>
      <c r="F245" s="4" t="n"/>
      <c r="G245" s="4" t="n"/>
    </row>
    <row r="246" ht="15.75" customHeight="1" s="85">
      <c r="A246" s="4" t="n"/>
      <c r="B246" s="4" t="n"/>
      <c r="C246" s="4" t="n"/>
      <c r="D246" s="4" t="n"/>
      <c r="E246" s="4" t="n"/>
      <c r="F246" s="4" t="n"/>
      <c r="G246" s="4" t="n"/>
    </row>
    <row r="247" ht="15.75" customHeight="1" s="85">
      <c r="A247" s="4" t="n"/>
      <c r="B247" s="4" t="n"/>
      <c r="C247" s="4" t="n"/>
      <c r="D247" s="4" t="n"/>
      <c r="E247" s="4" t="n"/>
      <c r="F247" s="4" t="n"/>
      <c r="G247" s="4" t="n"/>
    </row>
    <row r="248" ht="15.75" customHeight="1" s="85">
      <c r="A248" s="4" t="n"/>
      <c r="B248" s="4" t="n"/>
      <c r="C248" s="4" t="n"/>
      <c r="D248" s="4" t="n"/>
      <c r="E248" s="4" t="n"/>
      <c r="F248" s="4" t="n"/>
      <c r="G248" s="4" t="n"/>
    </row>
    <row r="249" ht="15.75" customHeight="1" s="85">
      <c r="A249" s="4" t="n"/>
      <c r="B249" s="4" t="n"/>
      <c r="C249" s="4" t="n"/>
      <c r="D249" s="4" t="n"/>
      <c r="E249" s="4" t="n"/>
      <c r="F249" s="4" t="n"/>
      <c r="G249" s="4" t="n"/>
    </row>
    <row r="250" ht="15.75" customHeight="1" s="85">
      <c r="A250" s="4" t="n"/>
      <c r="B250" s="4" t="n"/>
      <c r="C250" s="4" t="n"/>
      <c r="D250" s="4" t="n"/>
      <c r="E250" s="4" t="n"/>
      <c r="F250" s="4" t="n"/>
      <c r="G250" s="4" t="n"/>
    </row>
    <row r="251" ht="15.75" customHeight="1" s="85">
      <c r="A251" s="4" t="n"/>
      <c r="B251" s="4" t="n"/>
      <c r="C251" s="4" t="n"/>
      <c r="D251" s="4" t="n"/>
      <c r="E251" s="4" t="n"/>
      <c r="F251" s="4" t="n"/>
      <c r="G251" s="4" t="n"/>
    </row>
    <row r="252" ht="15.75" customHeight="1" s="85">
      <c r="A252" s="4" t="n"/>
      <c r="B252" s="4" t="n"/>
      <c r="C252" s="4" t="n"/>
      <c r="D252" s="4" t="n"/>
      <c r="E252" s="4" t="n"/>
      <c r="F252" s="4" t="n"/>
      <c r="G252" s="4" t="n"/>
    </row>
    <row r="253" ht="15.75" customHeight="1" s="85">
      <c r="A253" s="4" t="n"/>
      <c r="B253" s="4" t="n"/>
      <c r="C253" s="4" t="n"/>
      <c r="D253" s="4" t="n"/>
      <c r="E253" s="4" t="n"/>
      <c r="F253" s="4" t="n"/>
      <c r="G253" s="4" t="n"/>
    </row>
    <row r="254" ht="15.75" customHeight="1" s="85">
      <c r="A254" s="4" t="n"/>
      <c r="B254" s="4" t="n"/>
      <c r="C254" s="4" t="n"/>
      <c r="D254" s="4" t="n"/>
      <c r="E254" s="4" t="n"/>
      <c r="F254" s="4" t="n"/>
      <c r="G254" s="4" t="n"/>
    </row>
    <row r="255" ht="15.75" customHeight="1" s="85">
      <c r="A255" s="4" t="n"/>
      <c r="B255" s="4" t="n"/>
      <c r="C255" s="4" t="n"/>
      <c r="D255" s="4" t="n"/>
      <c r="E255" s="4" t="n"/>
      <c r="F255" s="4" t="n"/>
      <c r="G255" s="4" t="n"/>
    </row>
    <row r="256" ht="15.75" customHeight="1" s="85">
      <c r="A256" s="4" t="n"/>
      <c r="B256" s="4" t="n"/>
      <c r="C256" s="4" t="n"/>
      <c r="D256" s="4" t="n"/>
      <c r="E256" s="4" t="n"/>
      <c r="F256" s="4" t="n"/>
      <c r="G256" s="4" t="n"/>
    </row>
    <row r="257" ht="15.75" customHeight="1" s="85">
      <c r="A257" s="4" t="n"/>
      <c r="B257" s="4" t="n"/>
      <c r="C257" s="4" t="n"/>
      <c r="D257" s="4" t="n"/>
      <c r="E257" s="4" t="n"/>
      <c r="F257" s="4" t="n"/>
      <c r="G257" s="4" t="n"/>
    </row>
    <row r="258" ht="15.75" customHeight="1" s="85">
      <c r="A258" s="4" t="n"/>
      <c r="B258" s="4" t="n"/>
      <c r="C258" s="4" t="n"/>
      <c r="D258" s="4" t="n"/>
      <c r="E258" s="4" t="n"/>
      <c r="F258" s="4" t="n"/>
      <c r="G258" s="4" t="n"/>
    </row>
    <row r="259" ht="15.75" customHeight="1" s="85">
      <c r="A259" s="4" t="n"/>
      <c r="B259" s="4" t="n"/>
      <c r="C259" s="4" t="n"/>
      <c r="D259" s="4" t="n"/>
      <c r="E259" s="4" t="n"/>
      <c r="F259" s="4" t="n"/>
      <c r="G259" s="4" t="n"/>
    </row>
    <row r="260" ht="15.75" customHeight="1" s="85">
      <c r="A260" s="4" t="n"/>
      <c r="B260" s="4" t="n"/>
      <c r="C260" s="4" t="n"/>
      <c r="D260" s="4" t="n"/>
      <c r="E260" s="4" t="n"/>
      <c r="F260" s="4" t="n"/>
      <c r="G260" s="4" t="n"/>
    </row>
    <row r="261" ht="15.75" customHeight="1" s="85">
      <c r="A261" s="4" t="n"/>
      <c r="B261" s="4" t="n"/>
      <c r="C261" s="4" t="n"/>
      <c r="D261" s="4" t="n"/>
      <c r="E261" s="4" t="n"/>
      <c r="F261" s="4" t="n"/>
      <c r="G261" s="4" t="n"/>
    </row>
    <row r="262" ht="15.75" customHeight="1" s="85">
      <c r="A262" s="4" t="n"/>
      <c r="B262" s="4" t="n"/>
      <c r="C262" s="4" t="n"/>
      <c r="D262" s="4" t="n"/>
      <c r="E262" s="4" t="n"/>
      <c r="F262" s="4" t="n"/>
      <c r="G262" s="4" t="n"/>
    </row>
    <row r="263" ht="15.75" customHeight="1" s="85">
      <c r="A263" s="4" t="n"/>
      <c r="B263" s="4" t="n"/>
      <c r="C263" s="4" t="n"/>
      <c r="D263" s="4" t="n"/>
      <c r="E263" s="4" t="n"/>
      <c r="F263" s="4" t="n"/>
      <c r="G263" s="4" t="n"/>
    </row>
    <row r="264" ht="15.75" customHeight="1" s="85">
      <c r="A264" s="4" t="n"/>
      <c r="B264" s="4" t="n"/>
      <c r="C264" s="4" t="n"/>
      <c r="D264" s="4" t="n"/>
      <c r="E264" s="4" t="n"/>
      <c r="F264" s="4" t="n"/>
      <c r="G264" s="4" t="n"/>
    </row>
    <row r="265" ht="15.75" customHeight="1" s="85">
      <c r="A265" s="4" t="n"/>
      <c r="B265" s="4" t="n"/>
      <c r="C265" s="4" t="n"/>
      <c r="D265" s="4" t="n"/>
      <c r="E265" s="4" t="n"/>
      <c r="F265" s="4" t="n"/>
      <c r="G265" s="4" t="n"/>
    </row>
    <row r="266" ht="15.75" customHeight="1" s="85">
      <c r="A266" s="4" t="n"/>
      <c r="B266" s="4" t="n"/>
      <c r="C266" s="4" t="n"/>
      <c r="D266" s="4" t="n"/>
      <c r="E266" s="4" t="n"/>
      <c r="F266" s="4" t="n"/>
      <c r="G266" s="4" t="n"/>
    </row>
    <row r="267" ht="15.75" customHeight="1" s="85">
      <c r="A267" s="4" t="n"/>
      <c r="B267" s="4" t="n"/>
      <c r="C267" s="4" t="n"/>
      <c r="D267" s="4" t="n"/>
      <c r="E267" s="4" t="n"/>
      <c r="F267" s="4" t="n"/>
      <c r="G267" s="4" t="n"/>
    </row>
    <row r="268" ht="15.75" customHeight="1" s="85">
      <c r="A268" s="4" t="n"/>
      <c r="B268" s="4" t="n"/>
      <c r="C268" s="4" t="n"/>
      <c r="D268" s="4" t="n"/>
      <c r="E268" s="4" t="n"/>
      <c r="F268" s="4" t="n"/>
      <c r="G268" s="4" t="n"/>
    </row>
    <row r="269" ht="15.75" customHeight="1" s="85">
      <c r="A269" s="4" t="n"/>
      <c r="B269" s="4" t="n"/>
      <c r="C269" s="4" t="n"/>
      <c r="D269" s="4" t="n"/>
      <c r="E269" s="4" t="n"/>
      <c r="F269" s="4" t="n"/>
      <c r="G269" s="4" t="n"/>
    </row>
    <row r="270" ht="15.75" customHeight="1" s="85">
      <c r="A270" s="4" t="n"/>
      <c r="B270" s="4" t="n"/>
      <c r="C270" s="4" t="n"/>
      <c r="D270" s="4" t="n"/>
      <c r="E270" s="4" t="n"/>
      <c r="F270" s="4" t="n"/>
      <c r="G270" s="4" t="n"/>
    </row>
    <row r="271" ht="15.75" customHeight="1" s="85">
      <c r="A271" s="4" t="n"/>
      <c r="B271" s="4" t="n"/>
      <c r="C271" s="4" t="n"/>
      <c r="D271" s="4" t="n"/>
      <c r="E271" s="4" t="n"/>
      <c r="F271" s="4" t="n"/>
      <c r="G271" s="4" t="n"/>
    </row>
    <row r="272" ht="15.75" customHeight="1" s="85">
      <c r="A272" s="4" t="n"/>
      <c r="B272" s="4" t="n"/>
      <c r="C272" s="4" t="n"/>
      <c r="D272" s="4" t="n"/>
      <c r="E272" s="4" t="n"/>
      <c r="F272" s="4" t="n"/>
      <c r="G272" s="4" t="n"/>
    </row>
    <row r="273" ht="15.75" customHeight="1" s="85">
      <c r="A273" s="4" t="n"/>
      <c r="B273" s="4" t="n"/>
      <c r="C273" s="4" t="n"/>
      <c r="D273" s="4" t="n"/>
      <c r="E273" s="4" t="n"/>
      <c r="F273" s="4" t="n"/>
      <c r="G273" s="4" t="n"/>
    </row>
    <row r="274" ht="15.75" customHeight="1" s="85">
      <c r="A274" s="4" t="n"/>
      <c r="B274" s="4" t="n"/>
      <c r="C274" s="4" t="n"/>
      <c r="D274" s="4" t="n"/>
      <c r="E274" s="4" t="n"/>
      <c r="F274" s="4" t="n"/>
      <c r="G274" s="4" t="n"/>
    </row>
    <row r="275" ht="15.75" customHeight="1" s="85">
      <c r="A275" s="4" t="n"/>
      <c r="B275" s="4" t="n"/>
      <c r="C275" s="4" t="n"/>
      <c r="D275" s="4" t="n"/>
      <c r="E275" s="4" t="n"/>
      <c r="F275" s="4" t="n"/>
      <c r="G275" s="4" t="n"/>
    </row>
    <row r="276" ht="15.75" customHeight="1" s="85">
      <c r="A276" s="4" t="n"/>
      <c r="B276" s="4" t="n"/>
      <c r="C276" s="4" t="n"/>
      <c r="D276" s="4" t="n"/>
      <c r="E276" s="4" t="n"/>
      <c r="F276" s="4" t="n"/>
      <c r="G276" s="4" t="n"/>
    </row>
    <row r="277" ht="15.75" customHeight="1" s="85">
      <c r="A277" s="4" t="n"/>
      <c r="B277" s="4" t="n"/>
      <c r="C277" s="4" t="n"/>
      <c r="D277" s="4" t="n"/>
      <c r="E277" s="4" t="n"/>
      <c r="F277" s="4" t="n"/>
      <c r="G277" s="4" t="n"/>
    </row>
    <row r="278" ht="15.75" customHeight="1" s="85">
      <c r="A278" s="4" t="n"/>
      <c r="B278" s="4" t="n"/>
      <c r="C278" s="4" t="n"/>
      <c r="D278" s="4" t="n"/>
      <c r="E278" s="4" t="n"/>
      <c r="F278" s="4" t="n"/>
      <c r="G278" s="4" t="n"/>
    </row>
    <row r="279" ht="15.75" customHeight="1" s="85">
      <c r="A279" s="4" t="n"/>
      <c r="B279" s="4" t="n"/>
      <c r="C279" s="4" t="n"/>
      <c r="D279" s="4" t="n"/>
      <c r="E279" s="4" t="n"/>
      <c r="F279" s="4" t="n"/>
      <c r="G279" s="4" t="n"/>
    </row>
    <row r="280" ht="15.75" customHeight="1" s="85">
      <c r="A280" s="4" t="n"/>
      <c r="B280" s="4" t="n"/>
      <c r="C280" s="4" t="n"/>
      <c r="D280" s="4" t="n"/>
      <c r="E280" s="4" t="n"/>
      <c r="F280" s="4" t="n"/>
      <c r="G280" s="4" t="n"/>
    </row>
    <row r="281" ht="15.75" customHeight="1" s="85">
      <c r="A281" s="4" t="n"/>
      <c r="B281" s="4" t="n"/>
      <c r="C281" s="4" t="n"/>
      <c r="D281" s="4" t="n"/>
      <c r="E281" s="4" t="n"/>
      <c r="F281" s="4" t="n"/>
      <c r="G281" s="4" t="n"/>
    </row>
    <row r="282" ht="15.75" customHeight="1" s="85">
      <c r="A282" s="4" t="n"/>
      <c r="B282" s="4" t="n"/>
      <c r="C282" s="4" t="n"/>
      <c r="D282" s="4" t="n"/>
      <c r="E282" s="4" t="n"/>
      <c r="F282" s="4" t="n"/>
      <c r="G282" s="4" t="n"/>
    </row>
    <row r="283" ht="15.75" customHeight="1" s="85">
      <c r="A283" s="4" t="n"/>
      <c r="B283" s="4" t="n"/>
      <c r="C283" s="4" t="n"/>
      <c r="D283" s="4" t="n"/>
      <c r="E283" s="4" t="n"/>
      <c r="F283" s="4" t="n"/>
      <c r="G283" s="4" t="n"/>
    </row>
    <row r="284" ht="15.75" customHeight="1" s="85">
      <c r="A284" s="4" t="n"/>
      <c r="B284" s="4" t="n"/>
      <c r="C284" s="4" t="n"/>
      <c r="D284" s="4" t="n"/>
      <c r="E284" s="4" t="n"/>
      <c r="F284" s="4" t="n"/>
      <c r="G284" s="4" t="n"/>
    </row>
    <row r="285" ht="15.75" customHeight="1" s="85">
      <c r="A285" s="4" t="n"/>
      <c r="B285" s="4" t="n"/>
      <c r="C285" s="4" t="n"/>
      <c r="D285" s="4" t="n"/>
      <c r="E285" s="4" t="n"/>
      <c r="F285" s="4" t="n"/>
      <c r="G285" s="4" t="n"/>
    </row>
    <row r="286" ht="15.75" customHeight="1" s="85">
      <c r="A286" s="4" t="n"/>
      <c r="B286" s="4" t="n"/>
      <c r="C286" s="4" t="n"/>
      <c r="D286" s="4" t="n"/>
      <c r="E286" s="4" t="n"/>
      <c r="F286" s="4" t="n"/>
      <c r="G286" s="4" t="n"/>
    </row>
    <row r="287" ht="15.75" customHeight="1" s="85">
      <c r="A287" s="4" t="n"/>
      <c r="B287" s="4" t="n"/>
      <c r="C287" s="4" t="n"/>
      <c r="D287" s="4" t="n"/>
      <c r="E287" s="4" t="n"/>
      <c r="F287" s="4" t="n"/>
      <c r="G287" s="4" t="n"/>
    </row>
    <row r="288" ht="15.75" customHeight="1" s="85">
      <c r="A288" s="4" t="n"/>
      <c r="B288" s="4" t="n"/>
      <c r="C288" s="4" t="n"/>
      <c r="D288" s="4" t="n"/>
      <c r="E288" s="4" t="n"/>
      <c r="F288" s="4" t="n"/>
      <c r="G288" s="4" t="n"/>
    </row>
    <row r="289" ht="15.75" customHeight="1" s="85">
      <c r="A289" s="4" t="n"/>
      <c r="B289" s="4" t="n"/>
      <c r="C289" s="4" t="n"/>
      <c r="D289" s="4" t="n"/>
      <c r="E289" s="4" t="n"/>
      <c r="F289" s="4" t="n"/>
      <c r="G289" s="4" t="n"/>
    </row>
    <row r="290" ht="15.75" customHeight="1" s="85">
      <c r="A290" s="4" t="n"/>
      <c r="B290" s="4" t="n"/>
      <c r="C290" s="4" t="n"/>
      <c r="D290" s="4" t="n"/>
      <c r="E290" s="4" t="n"/>
      <c r="F290" s="4" t="n"/>
      <c r="G290" s="4" t="n"/>
    </row>
    <row r="291" ht="15.75" customHeight="1" s="85">
      <c r="A291" s="4" t="n"/>
      <c r="B291" s="4" t="n"/>
      <c r="C291" s="4" t="n"/>
      <c r="D291" s="4" t="n"/>
      <c r="E291" s="4" t="n"/>
      <c r="F291" s="4" t="n"/>
      <c r="G291" s="4" t="n"/>
    </row>
    <row r="292" ht="15.75" customHeight="1" s="85">
      <c r="A292" s="4" t="n"/>
      <c r="B292" s="4" t="n"/>
      <c r="C292" s="4" t="n"/>
      <c r="D292" s="4" t="n"/>
      <c r="E292" s="4" t="n"/>
      <c r="F292" s="4" t="n"/>
      <c r="G292" s="4" t="n"/>
    </row>
    <row r="293" ht="15.75" customHeight="1" s="85">
      <c r="A293" s="4" t="n"/>
      <c r="B293" s="4" t="n"/>
      <c r="C293" s="4" t="n"/>
      <c r="D293" s="4" t="n"/>
      <c r="E293" s="4" t="n"/>
      <c r="F293" s="4" t="n"/>
      <c r="G293" s="4" t="n"/>
    </row>
    <row r="294" ht="15.75" customHeight="1" s="85">
      <c r="A294" s="4" t="n"/>
      <c r="B294" s="4" t="n"/>
      <c r="C294" s="4" t="n"/>
      <c r="D294" s="4" t="n"/>
      <c r="E294" s="4" t="n"/>
      <c r="F294" s="4" t="n"/>
      <c r="G294" s="4" t="n"/>
    </row>
    <row r="295" ht="15.75" customHeight="1" s="85">
      <c r="A295" s="4" t="n"/>
      <c r="B295" s="4" t="n"/>
      <c r="C295" s="4" t="n"/>
      <c r="D295" s="4" t="n"/>
      <c r="E295" s="4" t="n"/>
      <c r="F295" s="4" t="n"/>
      <c r="G295" s="4" t="n"/>
    </row>
    <row r="296" ht="15.75" customHeight="1" s="85">
      <c r="A296" s="4" t="n"/>
      <c r="B296" s="4" t="n"/>
      <c r="C296" s="4" t="n"/>
      <c r="D296" s="4" t="n"/>
      <c r="E296" s="4" t="n"/>
      <c r="F296" s="4" t="n"/>
      <c r="G296" s="4" t="n"/>
    </row>
    <row r="297" ht="15.75" customHeight="1" s="85">
      <c r="A297" s="4" t="n"/>
      <c r="B297" s="4" t="n"/>
      <c r="C297" s="4" t="n"/>
      <c r="D297" s="4" t="n"/>
      <c r="E297" s="4" t="n"/>
      <c r="F297" s="4" t="n"/>
      <c r="G297" s="4" t="n"/>
    </row>
    <row r="298" ht="15.75" customHeight="1" s="85">
      <c r="A298" s="4" t="n"/>
      <c r="B298" s="4" t="n"/>
      <c r="C298" s="4" t="n"/>
      <c r="D298" s="4" t="n"/>
      <c r="E298" s="4" t="n"/>
      <c r="F298" s="4" t="n"/>
      <c r="G298" s="4" t="n"/>
    </row>
    <row r="299" ht="15.75" customHeight="1" s="85">
      <c r="A299" s="4" t="n"/>
      <c r="B299" s="4" t="n"/>
      <c r="C299" s="4" t="n"/>
      <c r="D299" s="4" t="n"/>
      <c r="E299" s="4" t="n"/>
      <c r="F299" s="4" t="n"/>
      <c r="G299" s="4" t="n"/>
    </row>
    <row r="300" ht="15.75" customHeight="1" s="85">
      <c r="A300" s="4" t="n"/>
      <c r="B300" s="4" t="n"/>
      <c r="C300" s="4" t="n"/>
      <c r="D300" s="4" t="n"/>
      <c r="E300" s="4" t="n"/>
      <c r="F300" s="4" t="n"/>
      <c r="G300" s="4" t="n"/>
    </row>
    <row r="301" ht="15.75" customHeight="1" s="85">
      <c r="A301" s="4" t="n"/>
      <c r="B301" s="4" t="n"/>
      <c r="C301" s="4" t="n"/>
      <c r="D301" s="4" t="n"/>
      <c r="E301" s="4" t="n"/>
      <c r="F301" s="4" t="n"/>
      <c r="G301" s="4" t="n"/>
    </row>
    <row r="302" ht="15.75" customHeight="1" s="85">
      <c r="A302" s="4" t="n"/>
      <c r="B302" s="4" t="n"/>
      <c r="C302" s="4" t="n"/>
      <c r="D302" s="4" t="n"/>
      <c r="E302" s="4" t="n"/>
      <c r="F302" s="4" t="n"/>
      <c r="G302" s="4" t="n"/>
    </row>
    <row r="303" ht="15.75" customHeight="1" s="85">
      <c r="A303" s="4" t="n"/>
      <c r="B303" s="4" t="n"/>
      <c r="C303" s="4" t="n"/>
      <c r="D303" s="4" t="n"/>
      <c r="E303" s="4" t="n"/>
      <c r="F303" s="4" t="n"/>
      <c r="G303" s="4" t="n"/>
    </row>
    <row r="304" ht="15.75" customHeight="1" s="85">
      <c r="A304" s="4" t="n"/>
      <c r="B304" s="4" t="n"/>
      <c r="C304" s="4" t="n"/>
      <c r="D304" s="4" t="n"/>
      <c r="E304" s="4" t="n"/>
      <c r="F304" s="4" t="n"/>
      <c r="G304" s="4" t="n"/>
    </row>
    <row r="305" ht="15.75" customHeight="1" s="85">
      <c r="A305" s="4" t="n"/>
      <c r="B305" s="4" t="n"/>
      <c r="C305" s="4" t="n"/>
      <c r="D305" s="4" t="n"/>
      <c r="E305" s="4" t="n"/>
      <c r="F305" s="4" t="n"/>
      <c r="G305" s="4" t="n"/>
    </row>
    <row r="306" ht="15.75" customHeight="1" s="85">
      <c r="A306" s="4" t="n"/>
      <c r="B306" s="4" t="n"/>
      <c r="C306" s="4" t="n"/>
      <c r="D306" s="4" t="n"/>
      <c r="E306" s="4" t="n"/>
      <c r="F306" s="4" t="n"/>
      <c r="G306" s="4" t="n"/>
    </row>
    <row r="307" ht="15.75" customHeight="1" s="85">
      <c r="A307" s="4" t="n"/>
      <c r="B307" s="4" t="n"/>
      <c r="C307" s="4" t="n"/>
      <c r="D307" s="4" t="n"/>
      <c r="E307" s="4" t="n"/>
      <c r="F307" s="4" t="n"/>
      <c r="G307" s="4" t="n"/>
    </row>
    <row r="308" ht="15.75" customHeight="1" s="85">
      <c r="A308" s="4" t="n"/>
      <c r="B308" s="4" t="n"/>
      <c r="C308" s="4" t="n"/>
      <c r="D308" s="4" t="n"/>
      <c r="E308" s="4" t="n"/>
      <c r="F308" s="4" t="n"/>
      <c r="G308" s="4" t="n"/>
    </row>
    <row r="309" ht="15.75" customHeight="1" s="85">
      <c r="A309" s="4" t="n"/>
      <c r="B309" s="4" t="n"/>
      <c r="C309" s="4" t="n"/>
      <c r="D309" s="4" t="n"/>
      <c r="E309" s="4" t="n"/>
      <c r="F309" s="4" t="n"/>
      <c r="G309" s="4" t="n"/>
    </row>
    <row r="310" ht="15.75" customHeight="1" s="85">
      <c r="A310" s="4" t="n"/>
      <c r="B310" s="4" t="n"/>
      <c r="C310" s="4" t="n"/>
      <c r="D310" s="4" t="n"/>
      <c r="E310" s="4" t="n"/>
      <c r="F310" s="4" t="n"/>
      <c r="G310" s="4" t="n"/>
    </row>
    <row r="311" ht="15.75" customHeight="1" s="85">
      <c r="A311" s="4" t="n"/>
      <c r="B311" s="4" t="n"/>
      <c r="C311" s="4" t="n"/>
      <c r="D311" s="4" t="n"/>
      <c r="E311" s="4" t="n"/>
      <c r="F311" s="4" t="n"/>
      <c r="G311" s="4" t="n"/>
    </row>
    <row r="312" ht="15.75" customHeight="1" s="85">
      <c r="A312" s="4" t="n"/>
      <c r="B312" s="4" t="n"/>
      <c r="C312" s="4" t="n"/>
      <c r="D312" s="4" t="n"/>
      <c r="E312" s="4" t="n"/>
      <c r="F312" s="4" t="n"/>
      <c r="G312" s="4" t="n"/>
    </row>
    <row r="313" ht="15.75" customHeight="1" s="85">
      <c r="A313" s="4" t="n"/>
      <c r="B313" s="4" t="n"/>
      <c r="C313" s="4" t="n"/>
      <c r="D313" s="4" t="n"/>
      <c r="E313" s="4" t="n"/>
      <c r="F313" s="4" t="n"/>
      <c r="G313" s="4" t="n"/>
    </row>
    <row r="314" ht="15.75" customHeight="1" s="85">
      <c r="A314" s="4" t="n"/>
      <c r="B314" s="4" t="n"/>
      <c r="C314" s="4" t="n"/>
      <c r="D314" s="4" t="n"/>
      <c r="E314" s="4" t="n"/>
      <c r="F314" s="4" t="n"/>
      <c r="G314" s="4" t="n"/>
    </row>
    <row r="315" ht="15.75" customHeight="1" s="85">
      <c r="A315" s="4" t="n"/>
      <c r="B315" s="4" t="n"/>
      <c r="C315" s="4" t="n"/>
      <c r="D315" s="4" t="n"/>
      <c r="E315" s="4" t="n"/>
      <c r="F315" s="4" t="n"/>
      <c r="G315" s="4" t="n"/>
    </row>
    <row r="316" ht="15.75" customHeight="1" s="85">
      <c r="A316" s="4" t="n"/>
      <c r="B316" s="4" t="n"/>
      <c r="C316" s="4" t="n"/>
      <c r="D316" s="4" t="n"/>
      <c r="E316" s="4" t="n"/>
      <c r="F316" s="4" t="n"/>
      <c r="G316" s="4" t="n"/>
    </row>
    <row r="317" ht="15.75" customHeight="1" s="85">
      <c r="A317" s="4" t="n"/>
      <c r="B317" s="4" t="n"/>
      <c r="C317" s="4" t="n"/>
      <c r="D317" s="4" t="n"/>
      <c r="E317" s="4" t="n"/>
      <c r="F317" s="4" t="n"/>
      <c r="G317" s="4" t="n"/>
    </row>
    <row r="318" ht="15.75" customHeight="1" s="85">
      <c r="A318" s="4" t="n"/>
      <c r="B318" s="4" t="n"/>
      <c r="C318" s="4" t="n"/>
      <c r="D318" s="4" t="n"/>
      <c r="E318" s="4" t="n"/>
      <c r="F318" s="4" t="n"/>
      <c r="G318" s="4" t="n"/>
    </row>
    <row r="319" ht="15.75" customHeight="1" s="85">
      <c r="A319" s="4" t="n"/>
      <c r="B319" s="4" t="n"/>
      <c r="C319" s="4" t="n"/>
      <c r="D319" s="4" t="n"/>
      <c r="E319" s="4" t="n"/>
      <c r="F319" s="4" t="n"/>
      <c r="G319" s="4" t="n"/>
    </row>
    <row r="320" ht="15.75" customHeight="1" s="85">
      <c r="A320" s="4" t="n"/>
      <c r="B320" s="4" t="n"/>
      <c r="C320" s="4" t="n"/>
      <c r="D320" s="4" t="n"/>
      <c r="E320" s="4" t="n"/>
      <c r="F320" s="4" t="n"/>
      <c r="G320" s="4" t="n"/>
    </row>
    <row r="321" ht="15.75" customHeight="1" s="85">
      <c r="A321" s="4" t="n"/>
      <c r="B321" s="4" t="n"/>
      <c r="C321" s="4" t="n"/>
      <c r="D321" s="4" t="n"/>
      <c r="E321" s="4" t="n"/>
      <c r="F321" s="4" t="n"/>
      <c r="G321" s="4" t="n"/>
    </row>
    <row r="322" ht="15.75" customHeight="1" s="85">
      <c r="A322" s="4" t="n"/>
      <c r="B322" s="4" t="n"/>
      <c r="C322" s="4" t="n"/>
      <c r="D322" s="4" t="n"/>
      <c r="E322" s="4" t="n"/>
      <c r="F322" s="4" t="n"/>
      <c r="G322" s="4" t="n"/>
    </row>
    <row r="323" ht="15.75" customHeight="1" s="85">
      <c r="A323" s="4" t="n"/>
      <c r="B323" s="4" t="n"/>
      <c r="C323" s="4" t="n"/>
      <c r="D323" s="4" t="n"/>
      <c r="E323" s="4" t="n"/>
      <c r="F323" s="4" t="n"/>
      <c r="G323" s="4" t="n"/>
    </row>
    <row r="324" ht="15.75" customHeight="1" s="85">
      <c r="A324" s="4" t="n"/>
      <c r="B324" s="4" t="n"/>
      <c r="C324" s="4" t="n"/>
      <c r="D324" s="4" t="n"/>
      <c r="E324" s="4" t="n"/>
      <c r="F324" s="4" t="n"/>
      <c r="G324" s="4" t="n"/>
    </row>
    <row r="325" ht="15.75" customHeight="1" s="85">
      <c r="A325" s="4" t="n"/>
      <c r="B325" s="4" t="n"/>
      <c r="C325" s="4" t="n"/>
      <c r="D325" s="4" t="n"/>
      <c r="E325" s="4" t="n"/>
      <c r="F325" s="4" t="n"/>
      <c r="G325" s="4" t="n"/>
    </row>
    <row r="326" ht="15.75" customHeight="1" s="85">
      <c r="A326" s="4" t="n"/>
      <c r="B326" s="4" t="n"/>
      <c r="C326" s="4" t="n"/>
      <c r="D326" s="4" t="n"/>
      <c r="E326" s="4" t="n"/>
      <c r="F326" s="4" t="n"/>
      <c r="G326" s="4" t="n"/>
    </row>
    <row r="327" ht="15.75" customHeight="1" s="85">
      <c r="A327" s="4" t="n"/>
      <c r="B327" s="4" t="n"/>
      <c r="C327" s="4" t="n"/>
      <c r="D327" s="4" t="n"/>
      <c r="E327" s="4" t="n"/>
      <c r="F327" s="4" t="n"/>
      <c r="G327" s="4" t="n"/>
    </row>
    <row r="328" ht="15.75" customHeight="1" s="85">
      <c r="A328" s="4" t="n"/>
      <c r="B328" s="4" t="n"/>
      <c r="C328" s="4" t="n"/>
      <c r="D328" s="4" t="n"/>
      <c r="E328" s="4" t="n"/>
      <c r="F328" s="4" t="n"/>
      <c r="G328" s="4" t="n"/>
    </row>
    <row r="329" ht="15.75" customHeight="1" s="85">
      <c r="A329" s="4" t="n"/>
      <c r="B329" s="4" t="n"/>
      <c r="C329" s="4" t="n"/>
      <c r="D329" s="4" t="n"/>
      <c r="E329" s="4" t="n"/>
      <c r="F329" s="4" t="n"/>
      <c r="G329" s="4" t="n"/>
    </row>
    <row r="330" ht="15.75" customHeight="1" s="85">
      <c r="A330" s="4" t="n"/>
      <c r="B330" s="4" t="n"/>
      <c r="C330" s="4" t="n"/>
      <c r="D330" s="4" t="n"/>
      <c r="E330" s="4" t="n"/>
      <c r="F330" s="4" t="n"/>
      <c r="G330" s="4" t="n"/>
    </row>
    <row r="331" ht="15.75" customHeight="1" s="85">
      <c r="A331" s="4" t="n"/>
      <c r="B331" s="4" t="n"/>
      <c r="C331" s="4" t="n"/>
      <c r="D331" s="4" t="n"/>
      <c r="E331" s="4" t="n"/>
      <c r="F331" s="4" t="n"/>
      <c r="G331" s="4" t="n"/>
    </row>
    <row r="332" ht="15.75" customHeight="1" s="85">
      <c r="A332" s="4" t="n"/>
      <c r="B332" s="4" t="n"/>
      <c r="C332" s="4" t="n"/>
      <c r="D332" s="4" t="n"/>
      <c r="E332" s="4" t="n"/>
      <c r="F332" s="4" t="n"/>
      <c r="G332" s="4" t="n"/>
    </row>
    <row r="333" ht="15.75" customHeight="1" s="85">
      <c r="A333" s="4" t="n"/>
      <c r="B333" s="4" t="n"/>
      <c r="C333" s="4" t="n"/>
      <c r="D333" s="4" t="n"/>
      <c r="E333" s="4" t="n"/>
      <c r="F333" s="4" t="n"/>
      <c r="G333" s="4" t="n"/>
    </row>
    <row r="334" ht="15.75" customHeight="1" s="85">
      <c r="A334" s="4" t="n"/>
      <c r="B334" s="4" t="n"/>
      <c r="C334" s="4" t="n"/>
      <c r="D334" s="4" t="n"/>
      <c r="E334" s="4" t="n"/>
      <c r="F334" s="4" t="n"/>
      <c r="G334" s="4" t="n"/>
    </row>
    <row r="335" ht="15.75" customHeight="1" s="85">
      <c r="A335" s="4" t="n"/>
      <c r="B335" s="4" t="n"/>
      <c r="C335" s="4" t="n"/>
      <c r="D335" s="4" t="n"/>
      <c r="E335" s="4" t="n"/>
      <c r="F335" s="4" t="n"/>
      <c r="G335" s="4" t="n"/>
    </row>
    <row r="336" ht="15.75" customHeight="1" s="85">
      <c r="A336" s="4" t="n"/>
      <c r="B336" s="4" t="n"/>
      <c r="C336" s="4" t="n"/>
      <c r="D336" s="4" t="n"/>
      <c r="E336" s="4" t="n"/>
      <c r="F336" s="4" t="n"/>
      <c r="G336" s="4" t="n"/>
    </row>
    <row r="337" ht="15.75" customHeight="1" s="85">
      <c r="A337" s="4" t="n"/>
      <c r="B337" s="4" t="n"/>
      <c r="C337" s="4" t="n"/>
      <c r="D337" s="4" t="n"/>
      <c r="E337" s="4" t="n"/>
      <c r="F337" s="4" t="n"/>
      <c r="G337" s="4" t="n"/>
    </row>
    <row r="338" ht="15.75" customHeight="1" s="85">
      <c r="A338" s="4" t="n"/>
      <c r="B338" s="4" t="n"/>
      <c r="C338" s="4" t="n"/>
      <c r="D338" s="4" t="n"/>
      <c r="E338" s="4" t="n"/>
      <c r="F338" s="4" t="n"/>
      <c r="G338" s="4" t="n"/>
    </row>
    <row r="339" ht="15.75" customHeight="1" s="85">
      <c r="A339" s="4" t="n"/>
      <c r="B339" s="4" t="n"/>
      <c r="C339" s="4" t="n"/>
      <c r="D339" s="4" t="n"/>
      <c r="E339" s="4" t="n"/>
      <c r="F339" s="4" t="n"/>
      <c r="G339" s="4" t="n"/>
    </row>
    <row r="340" ht="15.75" customHeight="1" s="85">
      <c r="A340" s="4" t="n"/>
      <c r="B340" s="4" t="n"/>
      <c r="C340" s="4" t="n"/>
      <c r="D340" s="4" t="n"/>
      <c r="E340" s="4" t="n"/>
      <c r="F340" s="4" t="n"/>
      <c r="G340" s="4" t="n"/>
    </row>
    <row r="341" ht="15.75" customHeight="1" s="85">
      <c r="A341" s="4" t="n"/>
      <c r="B341" s="4" t="n"/>
      <c r="C341" s="4" t="n"/>
      <c r="D341" s="4" t="n"/>
      <c r="E341" s="4" t="n"/>
      <c r="F341" s="4" t="n"/>
      <c r="G341" s="4" t="n"/>
    </row>
    <row r="342" ht="15.75" customHeight="1" s="85">
      <c r="A342" s="4" t="n"/>
      <c r="B342" s="4" t="n"/>
      <c r="C342" s="4" t="n"/>
      <c r="D342" s="4" t="n"/>
      <c r="E342" s="4" t="n"/>
      <c r="F342" s="4" t="n"/>
      <c r="G342" s="4" t="n"/>
    </row>
    <row r="343" ht="15.75" customHeight="1" s="85">
      <c r="A343" s="4" t="n"/>
      <c r="B343" s="4" t="n"/>
      <c r="C343" s="4" t="n"/>
      <c r="D343" s="4" t="n"/>
      <c r="E343" s="4" t="n"/>
      <c r="F343" s="4" t="n"/>
      <c r="G343" s="4" t="n"/>
    </row>
    <row r="344" ht="15.75" customHeight="1" s="85">
      <c r="A344" s="4" t="n"/>
      <c r="B344" s="4" t="n"/>
      <c r="C344" s="4" t="n"/>
      <c r="D344" s="4" t="n"/>
      <c r="E344" s="4" t="n"/>
      <c r="F344" s="4" t="n"/>
      <c r="G344" s="4" t="n"/>
    </row>
    <row r="345" ht="15.75" customHeight="1" s="85">
      <c r="A345" s="4" t="n"/>
      <c r="B345" s="4" t="n"/>
      <c r="C345" s="4" t="n"/>
      <c r="D345" s="4" t="n"/>
      <c r="E345" s="4" t="n"/>
      <c r="F345" s="4" t="n"/>
      <c r="G345" s="4" t="n"/>
    </row>
    <row r="346" ht="15.75" customHeight="1" s="85">
      <c r="A346" s="4" t="n"/>
      <c r="B346" s="4" t="n"/>
      <c r="C346" s="4" t="n"/>
      <c r="D346" s="4" t="n"/>
      <c r="E346" s="4" t="n"/>
      <c r="F346" s="4" t="n"/>
      <c r="G346" s="4" t="n"/>
    </row>
    <row r="347" ht="15.75" customHeight="1" s="85">
      <c r="A347" s="4" t="n"/>
      <c r="B347" s="4" t="n"/>
      <c r="C347" s="4" t="n"/>
      <c r="D347" s="4" t="n"/>
      <c r="E347" s="4" t="n"/>
      <c r="F347" s="4" t="n"/>
      <c r="G347" s="4" t="n"/>
    </row>
    <row r="348" ht="15.75" customHeight="1" s="85">
      <c r="A348" s="4" t="n"/>
      <c r="B348" s="4" t="n"/>
      <c r="C348" s="4" t="n"/>
      <c r="D348" s="4" t="n"/>
      <c r="E348" s="4" t="n"/>
      <c r="F348" s="4" t="n"/>
      <c r="G348" s="4" t="n"/>
    </row>
    <row r="349" ht="15.75" customHeight="1" s="85">
      <c r="A349" s="4" t="n"/>
      <c r="B349" s="4" t="n"/>
      <c r="C349" s="4" t="n"/>
      <c r="D349" s="4" t="n"/>
      <c r="E349" s="4" t="n"/>
      <c r="F349" s="4" t="n"/>
      <c r="G349" s="4" t="n"/>
    </row>
    <row r="350" ht="15.75" customHeight="1" s="85">
      <c r="A350" s="4" t="n"/>
      <c r="B350" s="4" t="n"/>
      <c r="C350" s="4" t="n"/>
      <c r="D350" s="4" t="n"/>
      <c r="E350" s="4" t="n"/>
      <c r="F350" s="4" t="n"/>
      <c r="G350" s="4" t="n"/>
    </row>
    <row r="351" ht="15.75" customHeight="1" s="85">
      <c r="A351" s="4" t="n"/>
      <c r="B351" s="4" t="n"/>
      <c r="C351" s="4" t="n"/>
      <c r="D351" s="4" t="n"/>
      <c r="E351" s="4" t="n"/>
      <c r="F351" s="4" t="n"/>
      <c r="G351" s="4" t="n"/>
    </row>
    <row r="352" ht="15.75" customHeight="1" s="85">
      <c r="A352" s="4" t="n"/>
      <c r="B352" s="4" t="n"/>
      <c r="C352" s="4" t="n"/>
      <c r="D352" s="4" t="n"/>
      <c r="E352" s="4" t="n"/>
      <c r="F352" s="4" t="n"/>
      <c r="G352" s="4" t="n"/>
    </row>
    <row r="353" ht="15.75" customHeight="1" s="85">
      <c r="A353" s="4" t="n"/>
      <c r="B353" s="4" t="n"/>
      <c r="C353" s="4" t="n"/>
      <c r="D353" s="4" t="n"/>
      <c r="E353" s="4" t="n"/>
      <c r="F353" s="4" t="n"/>
      <c r="G353" s="4" t="n"/>
    </row>
    <row r="354" ht="15.75" customHeight="1" s="85">
      <c r="A354" s="4" t="n"/>
      <c r="B354" s="4" t="n"/>
      <c r="C354" s="4" t="n"/>
      <c r="D354" s="4" t="n"/>
      <c r="E354" s="4" t="n"/>
      <c r="F354" s="4" t="n"/>
      <c r="G354" s="4" t="n"/>
    </row>
    <row r="355" ht="15.75" customHeight="1" s="85">
      <c r="A355" s="4" t="n"/>
      <c r="B355" s="4" t="n"/>
      <c r="C355" s="4" t="n"/>
      <c r="D355" s="4" t="n"/>
      <c r="E355" s="4" t="n"/>
      <c r="F355" s="4" t="n"/>
      <c r="G355" s="4" t="n"/>
    </row>
    <row r="356" ht="15.75" customHeight="1" s="85">
      <c r="A356" s="4" t="n"/>
      <c r="B356" s="4" t="n"/>
      <c r="C356" s="4" t="n"/>
      <c r="D356" s="4" t="n"/>
      <c r="E356" s="4" t="n"/>
      <c r="F356" s="4" t="n"/>
      <c r="G356" s="4" t="n"/>
    </row>
    <row r="357" ht="15.75" customHeight="1" s="85">
      <c r="A357" s="4" t="n"/>
      <c r="B357" s="4" t="n"/>
      <c r="C357" s="4" t="n"/>
      <c r="D357" s="4" t="n"/>
      <c r="E357" s="4" t="n"/>
      <c r="F357" s="4" t="n"/>
      <c r="G357" s="4" t="n"/>
    </row>
    <row r="358" ht="15.75" customHeight="1" s="85">
      <c r="A358" s="4" t="n"/>
      <c r="B358" s="4" t="n"/>
      <c r="C358" s="4" t="n"/>
      <c r="D358" s="4" t="n"/>
      <c r="E358" s="4" t="n"/>
      <c r="F358" s="4" t="n"/>
      <c r="G358" s="4" t="n"/>
    </row>
    <row r="359" ht="15.75" customHeight="1" s="85">
      <c r="A359" s="4" t="n"/>
      <c r="B359" s="4" t="n"/>
      <c r="C359" s="4" t="n"/>
      <c r="D359" s="4" t="n"/>
      <c r="E359" s="4" t="n"/>
      <c r="F359" s="4" t="n"/>
      <c r="G359" s="4" t="n"/>
    </row>
    <row r="360" ht="15.75" customHeight="1" s="85">
      <c r="A360" s="4" t="n"/>
      <c r="B360" s="4" t="n"/>
      <c r="C360" s="4" t="n"/>
      <c r="D360" s="4" t="n"/>
      <c r="E360" s="4" t="n"/>
      <c r="F360" s="4" t="n"/>
      <c r="G360" s="4" t="n"/>
    </row>
    <row r="361" ht="15.75" customHeight="1" s="85">
      <c r="A361" s="4" t="n"/>
      <c r="B361" s="4" t="n"/>
      <c r="C361" s="4" t="n"/>
      <c r="D361" s="4" t="n"/>
      <c r="E361" s="4" t="n"/>
      <c r="F361" s="4" t="n"/>
      <c r="G361" s="4" t="n"/>
    </row>
    <row r="362" ht="15.75" customHeight="1" s="85">
      <c r="A362" s="4" t="n"/>
      <c r="B362" s="4" t="n"/>
      <c r="C362" s="4" t="n"/>
      <c r="D362" s="4" t="n"/>
      <c r="E362" s="4" t="n"/>
      <c r="F362" s="4" t="n"/>
      <c r="G362" s="4" t="n"/>
    </row>
    <row r="363" ht="15.75" customHeight="1" s="85">
      <c r="A363" s="4" t="n"/>
      <c r="B363" s="4" t="n"/>
      <c r="C363" s="4" t="n"/>
      <c r="D363" s="4" t="n"/>
      <c r="E363" s="4" t="n"/>
      <c r="F363" s="4" t="n"/>
      <c r="G363" s="4" t="n"/>
    </row>
    <row r="364" ht="15.75" customHeight="1" s="85">
      <c r="A364" s="4" t="n"/>
      <c r="B364" s="4" t="n"/>
      <c r="C364" s="4" t="n"/>
      <c r="D364" s="4" t="n"/>
      <c r="E364" s="4" t="n"/>
      <c r="F364" s="4" t="n"/>
      <c r="G364" s="4" t="n"/>
    </row>
    <row r="365" ht="15.75" customHeight="1" s="85">
      <c r="A365" s="4" t="n"/>
      <c r="B365" s="4" t="n"/>
      <c r="C365" s="4" t="n"/>
      <c r="D365" s="4" t="n"/>
      <c r="E365" s="4" t="n"/>
      <c r="F365" s="4" t="n"/>
      <c r="G365" s="4" t="n"/>
    </row>
    <row r="366" ht="15.75" customHeight="1" s="85">
      <c r="A366" s="4" t="n"/>
      <c r="B366" s="4" t="n"/>
      <c r="C366" s="4" t="n"/>
      <c r="D366" s="4" t="n"/>
      <c r="E366" s="4" t="n"/>
      <c r="F366" s="4" t="n"/>
      <c r="G366" s="4" t="n"/>
    </row>
    <row r="367" ht="15.75" customHeight="1" s="85">
      <c r="A367" s="4" t="n"/>
      <c r="B367" s="4" t="n"/>
      <c r="C367" s="4" t="n"/>
      <c r="D367" s="4" t="n"/>
      <c r="E367" s="4" t="n"/>
      <c r="F367" s="4" t="n"/>
      <c r="G367" s="4" t="n"/>
    </row>
    <row r="368" ht="15.75" customHeight="1" s="85">
      <c r="A368" s="4" t="n"/>
      <c r="B368" s="4" t="n"/>
      <c r="C368" s="4" t="n"/>
      <c r="D368" s="4" t="n"/>
      <c r="E368" s="4" t="n"/>
      <c r="F368" s="4" t="n"/>
      <c r="G368" s="4" t="n"/>
    </row>
    <row r="369" ht="15.75" customHeight="1" s="85">
      <c r="A369" s="4" t="n"/>
      <c r="B369" s="4" t="n"/>
      <c r="C369" s="4" t="n"/>
      <c r="D369" s="4" t="n"/>
      <c r="E369" s="4" t="n"/>
      <c r="F369" s="4" t="n"/>
      <c r="G369" s="4" t="n"/>
    </row>
    <row r="370" ht="15.75" customHeight="1" s="85">
      <c r="A370" s="4" t="n"/>
      <c r="B370" s="4" t="n"/>
      <c r="C370" s="4" t="n"/>
      <c r="D370" s="4" t="n"/>
      <c r="E370" s="4" t="n"/>
      <c r="F370" s="4" t="n"/>
      <c r="G370" s="4" t="n"/>
    </row>
    <row r="371" ht="15.75" customHeight="1" s="85">
      <c r="A371" s="4" t="n"/>
      <c r="B371" s="4" t="n"/>
      <c r="C371" s="4" t="n"/>
      <c r="D371" s="4" t="n"/>
      <c r="E371" s="4" t="n"/>
      <c r="F371" s="4" t="n"/>
      <c r="G371" s="4" t="n"/>
    </row>
    <row r="372" ht="15.75" customHeight="1" s="85">
      <c r="A372" s="4" t="n"/>
      <c r="B372" s="4" t="n"/>
      <c r="C372" s="4" t="n"/>
      <c r="D372" s="4" t="n"/>
      <c r="E372" s="4" t="n"/>
      <c r="F372" s="4" t="n"/>
      <c r="G372" s="4" t="n"/>
    </row>
    <row r="373" ht="15.75" customHeight="1" s="85">
      <c r="A373" s="4" t="n"/>
      <c r="B373" s="4" t="n"/>
      <c r="C373" s="4" t="n"/>
      <c r="D373" s="4" t="n"/>
      <c r="E373" s="4" t="n"/>
      <c r="F373" s="4" t="n"/>
      <c r="G373" s="4" t="n"/>
    </row>
    <row r="374" ht="15.75" customHeight="1" s="85">
      <c r="A374" s="4" t="n"/>
      <c r="B374" s="4" t="n"/>
      <c r="C374" s="4" t="n"/>
      <c r="D374" s="4" t="n"/>
      <c r="E374" s="4" t="n"/>
      <c r="F374" s="4" t="n"/>
      <c r="G374" s="4" t="n"/>
    </row>
    <row r="375" ht="15.75" customHeight="1" s="85">
      <c r="A375" s="4" t="n"/>
      <c r="B375" s="4" t="n"/>
      <c r="C375" s="4" t="n"/>
      <c r="D375" s="4" t="n"/>
      <c r="E375" s="4" t="n"/>
      <c r="F375" s="4" t="n"/>
      <c r="G375" s="4" t="n"/>
    </row>
    <row r="376" ht="15.75" customHeight="1" s="85">
      <c r="A376" s="4" t="n"/>
      <c r="B376" s="4" t="n"/>
      <c r="C376" s="4" t="n"/>
      <c r="D376" s="4" t="n"/>
      <c r="E376" s="4" t="n"/>
      <c r="F376" s="4" t="n"/>
      <c r="G376" s="4" t="n"/>
    </row>
    <row r="377" ht="15.75" customHeight="1" s="85">
      <c r="A377" s="4" t="n"/>
      <c r="B377" s="4" t="n"/>
      <c r="C377" s="4" t="n"/>
      <c r="D377" s="4" t="n"/>
      <c r="E377" s="4" t="n"/>
      <c r="F377" s="4" t="n"/>
      <c r="G377" s="4" t="n"/>
    </row>
    <row r="378" ht="15.75" customHeight="1" s="85">
      <c r="A378" s="4" t="n"/>
      <c r="B378" s="4" t="n"/>
      <c r="C378" s="4" t="n"/>
      <c r="D378" s="4" t="n"/>
      <c r="E378" s="4" t="n"/>
      <c r="F378" s="4" t="n"/>
      <c r="G378" s="4" t="n"/>
    </row>
    <row r="379" ht="15.75" customHeight="1" s="85">
      <c r="A379" s="4" t="n"/>
      <c r="B379" s="4" t="n"/>
      <c r="C379" s="4" t="n"/>
      <c r="D379" s="4" t="n"/>
      <c r="E379" s="4" t="n"/>
      <c r="F379" s="4" t="n"/>
      <c r="G379" s="4" t="n"/>
    </row>
    <row r="380" ht="15.75" customHeight="1" s="85">
      <c r="A380" s="4" t="n"/>
      <c r="B380" s="4" t="n"/>
      <c r="C380" s="4" t="n"/>
      <c r="D380" s="4" t="n"/>
      <c r="E380" s="4" t="n"/>
      <c r="F380" s="4" t="n"/>
      <c r="G380" s="4" t="n"/>
    </row>
    <row r="381" ht="15.75" customHeight="1" s="85">
      <c r="A381" s="4" t="n"/>
      <c r="B381" s="4" t="n"/>
      <c r="C381" s="4" t="n"/>
      <c r="D381" s="4" t="n"/>
      <c r="E381" s="4" t="n"/>
      <c r="F381" s="4" t="n"/>
      <c r="G381" s="4" t="n"/>
    </row>
    <row r="382" ht="15.75" customHeight="1" s="85">
      <c r="A382" s="4" t="n"/>
      <c r="B382" s="4" t="n"/>
      <c r="C382" s="4" t="n"/>
      <c r="D382" s="4" t="n"/>
      <c r="E382" s="4" t="n"/>
      <c r="F382" s="4" t="n"/>
      <c r="G382" s="4" t="n"/>
    </row>
    <row r="383" ht="15.75" customHeight="1" s="85">
      <c r="A383" s="4" t="n"/>
      <c r="B383" s="4" t="n"/>
      <c r="C383" s="4" t="n"/>
      <c r="D383" s="4" t="n"/>
      <c r="E383" s="4" t="n"/>
      <c r="F383" s="4" t="n"/>
      <c r="G383" s="4" t="n"/>
    </row>
    <row r="384" ht="15.75" customHeight="1" s="85">
      <c r="A384" s="4" t="n"/>
      <c r="B384" s="4" t="n"/>
      <c r="C384" s="4" t="n"/>
      <c r="D384" s="4" t="n"/>
      <c r="E384" s="4" t="n"/>
      <c r="F384" s="4" t="n"/>
      <c r="G384" s="4" t="n"/>
    </row>
    <row r="385" ht="15.75" customHeight="1" s="85">
      <c r="A385" s="4" t="n"/>
      <c r="B385" s="4" t="n"/>
      <c r="C385" s="4" t="n"/>
      <c r="D385" s="4" t="n"/>
      <c r="E385" s="4" t="n"/>
      <c r="F385" s="4" t="n"/>
      <c r="G385" s="4" t="n"/>
    </row>
    <row r="386" ht="15.75" customHeight="1" s="85">
      <c r="A386" s="4" t="n"/>
      <c r="B386" s="4" t="n"/>
      <c r="C386" s="4" t="n"/>
      <c r="D386" s="4" t="n"/>
      <c r="E386" s="4" t="n"/>
      <c r="F386" s="4" t="n"/>
      <c r="G386" s="4" t="n"/>
    </row>
    <row r="387" ht="15.75" customHeight="1" s="85">
      <c r="A387" s="4" t="n"/>
      <c r="B387" s="4" t="n"/>
      <c r="C387" s="4" t="n"/>
      <c r="D387" s="4" t="n"/>
      <c r="E387" s="4" t="n"/>
      <c r="F387" s="4" t="n"/>
      <c r="G387" s="4" t="n"/>
    </row>
    <row r="388" ht="15.75" customHeight="1" s="85">
      <c r="A388" s="4" t="n"/>
      <c r="B388" s="4" t="n"/>
      <c r="C388" s="4" t="n"/>
      <c r="D388" s="4" t="n"/>
      <c r="E388" s="4" t="n"/>
      <c r="F388" s="4" t="n"/>
      <c r="G388" s="4" t="n"/>
    </row>
    <row r="389" ht="15.75" customHeight="1" s="85">
      <c r="A389" s="4" t="n"/>
      <c r="B389" s="4" t="n"/>
      <c r="C389" s="4" t="n"/>
      <c r="D389" s="4" t="n"/>
      <c r="E389" s="4" t="n"/>
      <c r="F389" s="4" t="n"/>
      <c r="G389" s="4" t="n"/>
    </row>
    <row r="390" ht="15.75" customHeight="1" s="85">
      <c r="A390" s="4" t="n"/>
      <c r="B390" s="4" t="n"/>
      <c r="C390" s="4" t="n"/>
      <c r="D390" s="4" t="n"/>
      <c r="E390" s="4" t="n"/>
      <c r="F390" s="4" t="n"/>
      <c r="G390" s="4" t="n"/>
    </row>
    <row r="391" ht="15.75" customHeight="1" s="85">
      <c r="A391" s="4" t="n"/>
      <c r="B391" s="4" t="n"/>
      <c r="C391" s="4" t="n"/>
      <c r="D391" s="4" t="n"/>
      <c r="E391" s="4" t="n"/>
      <c r="F391" s="4" t="n"/>
      <c r="G391" s="4" t="n"/>
    </row>
    <row r="392" ht="15.75" customHeight="1" s="85">
      <c r="A392" s="4" t="n"/>
      <c r="B392" s="4" t="n"/>
      <c r="C392" s="4" t="n"/>
      <c r="D392" s="4" t="n"/>
      <c r="E392" s="4" t="n"/>
      <c r="F392" s="4" t="n"/>
      <c r="G392" s="4" t="n"/>
    </row>
    <row r="393" ht="15.75" customHeight="1" s="85">
      <c r="A393" s="4" t="n"/>
      <c r="B393" s="4" t="n"/>
      <c r="C393" s="4" t="n"/>
      <c r="D393" s="4" t="n"/>
      <c r="E393" s="4" t="n"/>
      <c r="F393" s="4" t="n"/>
      <c r="G393" s="4" t="n"/>
    </row>
    <row r="394" ht="15.75" customHeight="1" s="85">
      <c r="A394" s="4" t="n"/>
      <c r="B394" s="4" t="n"/>
      <c r="C394" s="4" t="n"/>
      <c r="D394" s="4" t="n"/>
      <c r="E394" s="4" t="n"/>
      <c r="F394" s="4" t="n"/>
      <c r="G394" s="4" t="n"/>
    </row>
    <row r="395" ht="15.75" customHeight="1" s="85">
      <c r="A395" s="4" t="n"/>
      <c r="B395" s="4" t="n"/>
      <c r="C395" s="4" t="n"/>
      <c r="D395" s="4" t="n"/>
      <c r="E395" s="4" t="n"/>
      <c r="F395" s="4" t="n"/>
      <c r="G395" s="4" t="n"/>
    </row>
    <row r="396" ht="15.75" customHeight="1" s="85">
      <c r="A396" s="4" t="n"/>
      <c r="B396" s="4" t="n"/>
      <c r="C396" s="4" t="n"/>
      <c r="D396" s="4" t="n"/>
      <c r="E396" s="4" t="n"/>
      <c r="F396" s="4" t="n"/>
      <c r="G396" s="4" t="n"/>
    </row>
    <row r="397" ht="15.75" customHeight="1" s="85">
      <c r="A397" s="4" t="n"/>
      <c r="B397" s="4" t="n"/>
      <c r="C397" s="4" t="n"/>
      <c r="D397" s="4" t="n"/>
      <c r="E397" s="4" t="n"/>
      <c r="F397" s="4" t="n"/>
      <c r="G397" s="4" t="n"/>
    </row>
    <row r="398" ht="15.75" customHeight="1" s="85">
      <c r="A398" s="4" t="n"/>
      <c r="B398" s="4" t="n"/>
      <c r="C398" s="4" t="n"/>
      <c r="D398" s="4" t="n"/>
      <c r="E398" s="4" t="n"/>
      <c r="F398" s="4" t="n"/>
      <c r="G398" s="4" t="n"/>
    </row>
    <row r="399" ht="15.75" customHeight="1" s="85">
      <c r="A399" s="4" t="n"/>
      <c r="B399" s="4" t="n"/>
      <c r="C399" s="4" t="n"/>
      <c r="D399" s="4" t="n"/>
      <c r="E399" s="4" t="n"/>
      <c r="F399" s="4" t="n"/>
      <c r="G399" s="4" t="n"/>
    </row>
    <row r="400" ht="15.75" customHeight="1" s="85">
      <c r="A400" s="4" t="n"/>
      <c r="B400" s="4" t="n"/>
      <c r="C400" s="4" t="n"/>
      <c r="D400" s="4" t="n"/>
      <c r="E400" s="4" t="n"/>
      <c r="F400" s="4" t="n"/>
      <c r="G400" s="4" t="n"/>
    </row>
    <row r="401" ht="15.75" customHeight="1" s="85">
      <c r="A401" s="4" t="n"/>
      <c r="B401" s="4" t="n"/>
      <c r="C401" s="4" t="n"/>
      <c r="D401" s="4" t="n"/>
      <c r="E401" s="4" t="n"/>
      <c r="F401" s="4" t="n"/>
      <c r="G401" s="4" t="n"/>
    </row>
    <row r="402" ht="15.75" customHeight="1" s="85">
      <c r="A402" s="4" t="n"/>
      <c r="B402" s="4" t="n"/>
      <c r="C402" s="4" t="n"/>
      <c r="D402" s="4" t="n"/>
      <c r="E402" s="4" t="n"/>
      <c r="F402" s="4" t="n"/>
      <c r="G402" s="4" t="n"/>
    </row>
    <row r="403" ht="15.75" customHeight="1" s="85">
      <c r="A403" s="4" t="n"/>
      <c r="B403" s="4" t="n"/>
      <c r="C403" s="4" t="n"/>
      <c r="D403" s="4" t="n"/>
      <c r="E403" s="4" t="n"/>
      <c r="F403" s="4" t="n"/>
      <c r="G403" s="4" t="n"/>
    </row>
    <row r="404" ht="15.75" customHeight="1" s="85">
      <c r="A404" s="4" t="n"/>
      <c r="B404" s="4" t="n"/>
      <c r="C404" s="4" t="n"/>
      <c r="D404" s="4" t="n"/>
      <c r="E404" s="4" t="n"/>
      <c r="F404" s="4" t="n"/>
      <c r="G404" s="4" t="n"/>
    </row>
    <row r="405" ht="15.75" customHeight="1" s="85">
      <c r="A405" s="4" t="n"/>
      <c r="B405" s="4" t="n"/>
      <c r="C405" s="4" t="n"/>
      <c r="D405" s="4" t="n"/>
      <c r="E405" s="4" t="n"/>
      <c r="F405" s="4" t="n"/>
      <c r="G405" s="4" t="n"/>
    </row>
    <row r="406" ht="15.75" customHeight="1" s="85">
      <c r="A406" s="4" t="n"/>
      <c r="B406" s="4" t="n"/>
      <c r="C406" s="4" t="n"/>
      <c r="D406" s="4" t="n"/>
      <c r="E406" s="4" t="n"/>
      <c r="F406" s="4" t="n"/>
      <c r="G406" s="4" t="n"/>
    </row>
    <row r="407" ht="15.75" customHeight="1" s="85">
      <c r="A407" s="4" t="n"/>
      <c r="B407" s="4" t="n"/>
      <c r="C407" s="4" t="n"/>
      <c r="D407" s="4" t="n"/>
      <c r="E407" s="4" t="n"/>
      <c r="F407" s="4" t="n"/>
      <c r="G407" s="4" t="n"/>
    </row>
    <row r="408" ht="15.75" customHeight="1" s="85">
      <c r="A408" s="4" t="n"/>
      <c r="B408" s="4" t="n"/>
      <c r="C408" s="4" t="n"/>
      <c r="D408" s="4" t="n"/>
      <c r="E408" s="4" t="n"/>
      <c r="F408" s="4" t="n"/>
      <c r="G408" s="4" t="n"/>
    </row>
    <row r="409" ht="15.75" customHeight="1" s="85">
      <c r="A409" s="4" t="n"/>
      <c r="B409" s="4" t="n"/>
      <c r="C409" s="4" t="n"/>
      <c r="D409" s="4" t="n"/>
      <c r="E409" s="4" t="n"/>
      <c r="F409" s="4" t="n"/>
      <c r="G409" s="4" t="n"/>
    </row>
    <row r="410" ht="15.75" customHeight="1" s="85">
      <c r="A410" s="4" t="n"/>
      <c r="B410" s="4" t="n"/>
      <c r="C410" s="4" t="n"/>
      <c r="D410" s="4" t="n"/>
      <c r="E410" s="4" t="n"/>
      <c r="F410" s="4" t="n"/>
      <c r="G410" s="4" t="n"/>
    </row>
    <row r="411" ht="15.75" customHeight="1" s="85">
      <c r="A411" s="4" t="n"/>
      <c r="B411" s="4" t="n"/>
      <c r="C411" s="4" t="n"/>
      <c r="D411" s="4" t="n"/>
      <c r="E411" s="4" t="n"/>
      <c r="F411" s="4" t="n"/>
      <c r="G411" s="4" t="n"/>
    </row>
    <row r="412" ht="15.75" customHeight="1" s="85">
      <c r="A412" s="4" t="n"/>
      <c r="B412" s="4" t="n"/>
      <c r="C412" s="4" t="n"/>
      <c r="D412" s="4" t="n"/>
      <c r="E412" s="4" t="n"/>
      <c r="F412" s="4" t="n"/>
      <c r="G412" s="4" t="n"/>
    </row>
    <row r="413" ht="15.75" customHeight="1" s="85">
      <c r="A413" s="4" t="n"/>
      <c r="B413" s="4" t="n"/>
      <c r="C413" s="4" t="n"/>
      <c r="D413" s="4" t="n"/>
      <c r="E413" s="4" t="n"/>
      <c r="F413" s="4" t="n"/>
      <c r="G413" s="4" t="n"/>
    </row>
    <row r="414" ht="15.75" customHeight="1" s="85">
      <c r="A414" s="4" t="n"/>
      <c r="B414" s="4" t="n"/>
      <c r="C414" s="4" t="n"/>
      <c r="D414" s="4" t="n"/>
      <c r="E414" s="4" t="n"/>
      <c r="F414" s="4" t="n"/>
      <c r="G414" s="4" t="n"/>
    </row>
    <row r="415" ht="15.75" customHeight="1" s="85">
      <c r="A415" s="4" t="n"/>
      <c r="B415" s="4" t="n"/>
      <c r="C415" s="4" t="n"/>
      <c r="D415" s="4" t="n"/>
      <c r="E415" s="4" t="n"/>
      <c r="F415" s="4" t="n"/>
      <c r="G415" s="4" t="n"/>
    </row>
    <row r="416" ht="15.75" customHeight="1" s="85">
      <c r="A416" s="4" t="n"/>
      <c r="B416" s="4" t="n"/>
      <c r="C416" s="4" t="n"/>
      <c r="D416" s="4" t="n"/>
      <c r="E416" s="4" t="n"/>
      <c r="F416" s="4" t="n"/>
      <c r="G416" s="4" t="n"/>
    </row>
    <row r="417" ht="15.75" customHeight="1" s="85">
      <c r="A417" s="4" t="n"/>
      <c r="B417" s="4" t="n"/>
      <c r="C417" s="4" t="n"/>
      <c r="D417" s="4" t="n"/>
      <c r="E417" s="4" t="n"/>
      <c r="F417" s="4" t="n"/>
      <c r="G417" s="4" t="n"/>
    </row>
    <row r="418" ht="15.75" customHeight="1" s="85">
      <c r="A418" s="4" t="n"/>
      <c r="B418" s="4" t="n"/>
      <c r="C418" s="4" t="n"/>
      <c r="D418" s="4" t="n"/>
      <c r="E418" s="4" t="n"/>
      <c r="F418" s="4" t="n"/>
      <c r="G418" s="4" t="n"/>
    </row>
    <row r="419" ht="15.75" customHeight="1" s="85">
      <c r="A419" s="4" t="n"/>
      <c r="B419" s="4" t="n"/>
      <c r="C419" s="4" t="n"/>
      <c r="D419" s="4" t="n"/>
      <c r="E419" s="4" t="n"/>
      <c r="F419" s="4" t="n"/>
      <c r="G419" s="4" t="n"/>
    </row>
    <row r="420" ht="15.75" customHeight="1" s="85">
      <c r="A420" s="4" t="n"/>
      <c r="B420" s="4" t="n"/>
      <c r="C420" s="4" t="n"/>
      <c r="D420" s="4" t="n"/>
      <c r="E420" s="4" t="n"/>
      <c r="F420" s="4" t="n"/>
      <c r="G420" s="4" t="n"/>
    </row>
    <row r="421" ht="15.75" customHeight="1" s="85">
      <c r="A421" s="4" t="n"/>
      <c r="B421" s="4" t="n"/>
      <c r="C421" s="4" t="n"/>
      <c r="D421" s="4" t="n"/>
      <c r="E421" s="4" t="n"/>
      <c r="F421" s="4" t="n"/>
      <c r="G421" s="4" t="n"/>
    </row>
    <row r="422" ht="15.75" customHeight="1" s="85">
      <c r="A422" s="4" t="n"/>
      <c r="B422" s="4" t="n"/>
      <c r="C422" s="4" t="n"/>
      <c r="D422" s="4" t="n"/>
      <c r="E422" s="4" t="n"/>
      <c r="F422" s="4" t="n"/>
      <c r="G422" s="4" t="n"/>
    </row>
    <row r="423" ht="15.75" customHeight="1" s="85">
      <c r="A423" s="4" t="n"/>
      <c r="B423" s="4" t="n"/>
      <c r="C423" s="4" t="n"/>
      <c r="D423" s="4" t="n"/>
      <c r="E423" s="4" t="n"/>
      <c r="F423" s="4" t="n"/>
      <c r="G423" s="4" t="n"/>
    </row>
    <row r="424" ht="15.75" customHeight="1" s="85">
      <c r="A424" s="4" t="n"/>
      <c r="B424" s="4" t="n"/>
      <c r="C424" s="4" t="n"/>
      <c r="D424" s="4" t="n"/>
      <c r="E424" s="4" t="n"/>
      <c r="F424" s="4" t="n"/>
      <c r="G424" s="4" t="n"/>
    </row>
    <row r="425" ht="15.75" customHeight="1" s="85">
      <c r="A425" s="4" t="n"/>
      <c r="B425" s="4" t="n"/>
      <c r="C425" s="4" t="n"/>
      <c r="D425" s="4" t="n"/>
      <c r="E425" s="4" t="n"/>
      <c r="F425" s="4" t="n"/>
      <c r="G425" s="4" t="n"/>
    </row>
    <row r="426" ht="15.75" customHeight="1" s="85">
      <c r="A426" s="4" t="n"/>
      <c r="B426" s="4" t="n"/>
      <c r="C426" s="4" t="n"/>
      <c r="D426" s="4" t="n"/>
      <c r="E426" s="4" t="n"/>
      <c r="F426" s="4" t="n"/>
      <c r="G426" s="4" t="n"/>
    </row>
    <row r="427" ht="15.75" customHeight="1" s="85">
      <c r="A427" s="4" t="n"/>
      <c r="B427" s="4" t="n"/>
      <c r="C427" s="4" t="n"/>
      <c r="D427" s="4" t="n"/>
      <c r="E427" s="4" t="n"/>
      <c r="F427" s="4" t="n"/>
      <c r="G427" s="4" t="n"/>
    </row>
    <row r="428" ht="15.75" customHeight="1" s="85">
      <c r="A428" s="4" t="n"/>
      <c r="B428" s="4" t="n"/>
      <c r="C428" s="4" t="n"/>
      <c r="D428" s="4" t="n"/>
      <c r="E428" s="4" t="n"/>
      <c r="F428" s="4" t="n"/>
      <c r="G428" s="4" t="n"/>
    </row>
    <row r="429" ht="15.75" customHeight="1" s="85">
      <c r="A429" s="4" t="n"/>
      <c r="B429" s="4" t="n"/>
      <c r="C429" s="4" t="n"/>
      <c r="D429" s="4" t="n"/>
      <c r="E429" s="4" t="n"/>
      <c r="F429" s="4" t="n"/>
      <c r="G429" s="4" t="n"/>
    </row>
    <row r="430" ht="15.75" customHeight="1" s="85">
      <c r="A430" s="4" t="n"/>
      <c r="B430" s="4" t="n"/>
      <c r="C430" s="4" t="n"/>
      <c r="D430" s="4" t="n"/>
      <c r="E430" s="4" t="n"/>
      <c r="F430" s="4" t="n"/>
      <c r="G430" s="4" t="n"/>
    </row>
    <row r="431" ht="15.75" customHeight="1" s="85">
      <c r="A431" s="4" t="n"/>
      <c r="B431" s="4" t="n"/>
      <c r="C431" s="4" t="n"/>
      <c r="D431" s="4" t="n"/>
      <c r="E431" s="4" t="n"/>
      <c r="F431" s="4" t="n"/>
      <c r="G431" s="4" t="n"/>
    </row>
    <row r="432" ht="15.75" customHeight="1" s="85">
      <c r="A432" s="4" t="n"/>
      <c r="B432" s="4" t="n"/>
      <c r="C432" s="4" t="n"/>
      <c r="D432" s="4" t="n"/>
      <c r="E432" s="4" t="n"/>
      <c r="F432" s="4" t="n"/>
      <c r="G432" s="4" t="n"/>
    </row>
    <row r="433" ht="15.75" customHeight="1" s="85">
      <c r="A433" s="4" t="n"/>
      <c r="B433" s="4" t="n"/>
      <c r="C433" s="4" t="n"/>
      <c r="D433" s="4" t="n"/>
      <c r="E433" s="4" t="n"/>
      <c r="F433" s="4" t="n"/>
      <c r="G433" s="4" t="n"/>
    </row>
    <row r="434" ht="15.75" customHeight="1" s="85">
      <c r="A434" s="4" t="n"/>
      <c r="B434" s="4" t="n"/>
      <c r="C434" s="4" t="n"/>
      <c r="D434" s="4" t="n"/>
      <c r="E434" s="4" t="n"/>
      <c r="F434" s="4" t="n"/>
      <c r="G434" s="4" t="n"/>
    </row>
    <row r="435" ht="15.75" customHeight="1" s="85">
      <c r="A435" s="4" t="n"/>
      <c r="B435" s="4" t="n"/>
      <c r="C435" s="4" t="n"/>
      <c r="D435" s="4" t="n"/>
      <c r="E435" s="4" t="n"/>
      <c r="F435" s="4" t="n"/>
      <c r="G435" s="4" t="n"/>
    </row>
    <row r="436" ht="15.75" customHeight="1" s="85">
      <c r="A436" s="4" t="n"/>
      <c r="B436" s="4" t="n"/>
      <c r="C436" s="4" t="n"/>
      <c r="D436" s="4" t="n"/>
      <c r="E436" s="4" t="n"/>
      <c r="F436" s="4" t="n"/>
      <c r="G436" s="4" t="n"/>
    </row>
    <row r="437" ht="15.75" customHeight="1" s="85">
      <c r="A437" s="4" t="n"/>
      <c r="B437" s="4" t="n"/>
      <c r="C437" s="4" t="n"/>
      <c r="D437" s="4" t="n"/>
      <c r="E437" s="4" t="n"/>
      <c r="F437" s="4" t="n"/>
      <c r="G437" s="4" t="n"/>
    </row>
    <row r="438" ht="15.75" customHeight="1" s="85">
      <c r="A438" s="4" t="n"/>
      <c r="B438" s="4" t="n"/>
      <c r="C438" s="4" t="n"/>
      <c r="D438" s="4" t="n"/>
      <c r="E438" s="4" t="n"/>
      <c r="F438" s="4" t="n"/>
      <c r="G438" s="4" t="n"/>
    </row>
    <row r="439" ht="15.75" customHeight="1" s="85">
      <c r="A439" s="4" t="n"/>
      <c r="B439" s="4" t="n"/>
      <c r="C439" s="4" t="n"/>
      <c r="D439" s="4" t="n"/>
      <c r="E439" s="4" t="n"/>
      <c r="F439" s="4" t="n"/>
      <c r="G439" s="4" t="n"/>
    </row>
    <row r="440" ht="15.75" customHeight="1" s="85">
      <c r="A440" s="4" t="n"/>
      <c r="B440" s="4" t="n"/>
      <c r="C440" s="4" t="n"/>
      <c r="D440" s="4" t="n"/>
      <c r="E440" s="4" t="n"/>
      <c r="F440" s="4" t="n"/>
      <c r="G440" s="4" t="n"/>
    </row>
    <row r="441" ht="15.75" customHeight="1" s="85">
      <c r="A441" s="4" t="n"/>
      <c r="B441" s="4" t="n"/>
      <c r="C441" s="4" t="n"/>
      <c r="D441" s="4" t="n"/>
      <c r="E441" s="4" t="n"/>
      <c r="F441" s="4" t="n"/>
      <c r="G441" s="4" t="n"/>
    </row>
    <row r="442" ht="15.75" customHeight="1" s="85">
      <c r="A442" s="4" t="n"/>
      <c r="B442" s="4" t="n"/>
      <c r="C442" s="4" t="n"/>
      <c r="D442" s="4" t="n"/>
      <c r="E442" s="4" t="n"/>
      <c r="F442" s="4" t="n"/>
      <c r="G442" s="4" t="n"/>
    </row>
    <row r="443" ht="15.75" customHeight="1" s="85">
      <c r="A443" s="4" t="n"/>
      <c r="B443" s="4" t="n"/>
      <c r="C443" s="4" t="n"/>
      <c r="D443" s="4" t="n"/>
      <c r="E443" s="4" t="n"/>
      <c r="F443" s="4" t="n"/>
      <c r="G443" s="4" t="n"/>
    </row>
    <row r="444" ht="15.75" customHeight="1" s="85">
      <c r="A444" s="4" t="n"/>
      <c r="B444" s="4" t="n"/>
      <c r="C444" s="4" t="n"/>
      <c r="D444" s="4" t="n"/>
      <c r="E444" s="4" t="n"/>
      <c r="F444" s="4" t="n"/>
      <c r="G444" s="4" t="n"/>
    </row>
    <row r="445" ht="15.75" customHeight="1" s="85">
      <c r="A445" s="4" t="n"/>
      <c r="B445" s="4" t="n"/>
      <c r="C445" s="4" t="n"/>
      <c r="D445" s="4" t="n"/>
      <c r="E445" s="4" t="n"/>
      <c r="F445" s="4" t="n"/>
      <c r="G445" s="4" t="n"/>
    </row>
    <row r="446" ht="15.75" customHeight="1" s="85">
      <c r="A446" s="4" t="n"/>
      <c r="B446" s="4" t="n"/>
      <c r="C446" s="4" t="n"/>
      <c r="D446" s="4" t="n"/>
      <c r="E446" s="4" t="n"/>
      <c r="F446" s="4" t="n"/>
      <c r="G446" s="4" t="n"/>
    </row>
    <row r="447" ht="15.75" customHeight="1" s="85">
      <c r="A447" s="4" t="n"/>
      <c r="B447" s="4" t="n"/>
      <c r="C447" s="4" t="n"/>
      <c r="D447" s="4" t="n"/>
      <c r="E447" s="4" t="n"/>
      <c r="F447" s="4" t="n"/>
      <c r="G447" s="4" t="n"/>
    </row>
    <row r="448" ht="15.75" customHeight="1" s="85">
      <c r="A448" s="4" t="n"/>
      <c r="B448" s="4" t="n"/>
      <c r="C448" s="4" t="n"/>
      <c r="D448" s="4" t="n"/>
      <c r="E448" s="4" t="n"/>
      <c r="F448" s="4" t="n"/>
      <c r="G448" s="4" t="n"/>
    </row>
    <row r="449" ht="15.75" customHeight="1" s="85">
      <c r="A449" s="4" t="n"/>
      <c r="B449" s="4" t="n"/>
      <c r="C449" s="4" t="n"/>
      <c r="D449" s="4" t="n"/>
      <c r="E449" s="4" t="n"/>
      <c r="F449" s="4" t="n"/>
      <c r="G449" s="4" t="n"/>
    </row>
    <row r="450" ht="15.75" customHeight="1" s="85">
      <c r="A450" s="4" t="n"/>
      <c r="B450" s="4" t="n"/>
      <c r="C450" s="4" t="n"/>
      <c r="D450" s="4" t="n"/>
      <c r="E450" s="4" t="n"/>
      <c r="F450" s="4" t="n"/>
      <c r="G450" s="4" t="n"/>
    </row>
    <row r="451" ht="15.75" customHeight="1" s="85">
      <c r="A451" s="4" t="n"/>
      <c r="B451" s="4" t="n"/>
      <c r="C451" s="4" t="n"/>
      <c r="D451" s="4" t="n"/>
      <c r="E451" s="4" t="n"/>
      <c r="F451" s="4" t="n"/>
      <c r="G451" s="4" t="n"/>
    </row>
    <row r="452" ht="15.75" customHeight="1" s="85">
      <c r="A452" s="4" t="n"/>
      <c r="B452" s="4" t="n"/>
      <c r="C452" s="4" t="n"/>
      <c r="D452" s="4" t="n"/>
      <c r="E452" s="4" t="n"/>
      <c r="F452" s="4" t="n"/>
      <c r="G452" s="4" t="n"/>
    </row>
    <row r="453" ht="15.75" customHeight="1" s="85">
      <c r="A453" s="4" t="n"/>
      <c r="B453" s="4" t="n"/>
      <c r="C453" s="4" t="n"/>
      <c r="D453" s="4" t="n"/>
      <c r="E453" s="4" t="n"/>
      <c r="F453" s="4" t="n"/>
      <c r="G453" s="4" t="n"/>
    </row>
    <row r="454" ht="15.75" customHeight="1" s="85">
      <c r="A454" s="4" t="n"/>
      <c r="B454" s="4" t="n"/>
      <c r="C454" s="4" t="n"/>
      <c r="D454" s="4" t="n"/>
      <c r="E454" s="4" t="n"/>
      <c r="F454" s="4" t="n"/>
      <c r="G454" s="4" t="n"/>
    </row>
    <row r="455" ht="15.75" customHeight="1" s="85">
      <c r="A455" s="4" t="n"/>
      <c r="B455" s="4" t="n"/>
      <c r="C455" s="4" t="n"/>
      <c r="D455" s="4" t="n"/>
      <c r="E455" s="4" t="n"/>
      <c r="F455" s="4" t="n"/>
      <c r="G455" s="4" t="n"/>
    </row>
    <row r="456" ht="15.75" customHeight="1" s="85">
      <c r="A456" s="4" t="n"/>
      <c r="B456" s="4" t="n"/>
      <c r="C456" s="4" t="n"/>
      <c r="D456" s="4" t="n"/>
      <c r="E456" s="4" t="n"/>
      <c r="F456" s="4" t="n"/>
      <c r="G456" s="4" t="n"/>
    </row>
    <row r="457" ht="15.75" customHeight="1" s="85">
      <c r="A457" s="4" t="n"/>
      <c r="B457" s="4" t="n"/>
      <c r="C457" s="4" t="n"/>
      <c r="D457" s="4" t="n"/>
      <c r="E457" s="4" t="n"/>
      <c r="F457" s="4" t="n"/>
      <c r="G457" s="4" t="n"/>
    </row>
    <row r="458" ht="15.75" customHeight="1" s="85">
      <c r="A458" s="4" t="n"/>
      <c r="B458" s="4" t="n"/>
      <c r="C458" s="4" t="n"/>
      <c r="D458" s="4" t="n"/>
      <c r="E458" s="4" t="n"/>
      <c r="F458" s="4" t="n"/>
      <c r="G458" s="4" t="n"/>
    </row>
    <row r="459" ht="15.75" customHeight="1" s="85">
      <c r="A459" s="4" t="n"/>
      <c r="B459" s="4" t="n"/>
      <c r="C459" s="4" t="n"/>
      <c r="D459" s="4" t="n"/>
      <c r="E459" s="4" t="n"/>
      <c r="F459" s="4" t="n"/>
      <c r="G459" s="4" t="n"/>
    </row>
    <row r="460" ht="15.75" customHeight="1" s="85">
      <c r="A460" s="4" t="n"/>
      <c r="B460" s="4" t="n"/>
      <c r="C460" s="4" t="n"/>
      <c r="D460" s="4" t="n"/>
      <c r="E460" s="4" t="n"/>
      <c r="F460" s="4" t="n"/>
      <c r="G460" s="4" t="n"/>
    </row>
    <row r="461" ht="15.75" customHeight="1" s="85">
      <c r="A461" s="4" t="n"/>
      <c r="B461" s="4" t="n"/>
      <c r="C461" s="4" t="n"/>
      <c r="D461" s="4" t="n"/>
      <c r="E461" s="4" t="n"/>
      <c r="F461" s="4" t="n"/>
      <c r="G461" s="4" t="n"/>
    </row>
    <row r="462" ht="15.75" customHeight="1" s="85">
      <c r="A462" s="4" t="n"/>
      <c r="B462" s="4" t="n"/>
      <c r="C462" s="4" t="n"/>
      <c r="D462" s="4" t="n"/>
      <c r="E462" s="4" t="n"/>
      <c r="F462" s="4" t="n"/>
      <c r="G462" s="4" t="n"/>
    </row>
    <row r="463" ht="15.75" customHeight="1" s="85">
      <c r="A463" s="4" t="n"/>
      <c r="B463" s="4" t="n"/>
      <c r="C463" s="4" t="n"/>
      <c r="D463" s="4" t="n"/>
      <c r="E463" s="4" t="n"/>
      <c r="F463" s="4" t="n"/>
      <c r="G463" s="4" t="n"/>
    </row>
    <row r="464" ht="15.75" customHeight="1" s="85">
      <c r="A464" s="4" t="n"/>
      <c r="B464" s="4" t="n"/>
      <c r="C464" s="4" t="n"/>
      <c r="D464" s="4" t="n"/>
      <c r="E464" s="4" t="n"/>
      <c r="F464" s="4" t="n"/>
      <c r="G464" s="4" t="n"/>
    </row>
    <row r="465" ht="15.75" customHeight="1" s="85">
      <c r="A465" s="4" t="n"/>
      <c r="B465" s="4" t="n"/>
      <c r="C465" s="4" t="n"/>
      <c r="D465" s="4" t="n"/>
      <c r="E465" s="4" t="n"/>
      <c r="F465" s="4" t="n"/>
      <c r="G465" s="4" t="n"/>
    </row>
    <row r="466" ht="15.75" customHeight="1" s="85">
      <c r="A466" s="4" t="n"/>
      <c r="B466" s="4" t="n"/>
      <c r="C466" s="4" t="n"/>
      <c r="D466" s="4" t="n"/>
      <c r="E466" s="4" t="n"/>
      <c r="F466" s="4" t="n"/>
      <c r="G466" s="4" t="n"/>
    </row>
    <row r="467" ht="15.75" customHeight="1" s="85">
      <c r="A467" s="4" t="n"/>
      <c r="B467" s="4" t="n"/>
      <c r="C467" s="4" t="n"/>
      <c r="D467" s="4" t="n"/>
      <c r="E467" s="4" t="n"/>
      <c r="F467" s="4" t="n"/>
      <c r="G467" s="4" t="n"/>
    </row>
    <row r="468" ht="15.75" customHeight="1" s="85">
      <c r="A468" s="4" t="n"/>
      <c r="B468" s="4" t="n"/>
      <c r="C468" s="4" t="n"/>
      <c r="D468" s="4" t="n"/>
      <c r="E468" s="4" t="n"/>
      <c r="F468" s="4" t="n"/>
      <c r="G468" s="4" t="n"/>
    </row>
    <row r="469" ht="15.75" customHeight="1" s="85">
      <c r="A469" s="4" t="n"/>
      <c r="B469" s="4" t="n"/>
      <c r="C469" s="4" t="n"/>
      <c r="D469" s="4" t="n"/>
      <c r="E469" s="4" t="n"/>
      <c r="F469" s="4" t="n"/>
      <c r="G469" s="4" t="n"/>
    </row>
    <row r="470" ht="15.75" customHeight="1" s="85">
      <c r="A470" s="4" t="n"/>
      <c r="B470" s="4" t="n"/>
      <c r="C470" s="4" t="n"/>
      <c r="D470" s="4" t="n"/>
      <c r="E470" s="4" t="n"/>
      <c r="F470" s="4" t="n"/>
      <c r="G470" s="4" t="n"/>
    </row>
    <row r="471" ht="15.75" customHeight="1" s="85">
      <c r="A471" s="4" t="n"/>
      <c r="B471" s="4" t="n"/>
      <c r="C471" s="4" t="n"/>
      <c r="D471" s="4" t="n"/>
      <c r="E471" s="4" t="n"/>
      <c r="F471" s="4" t="n"/>
      <c r="G471" s="4" t="n"/>
    </row>
    <row r="472" ht="15.75" customHeight="1" s="85">
      <c r="A472" s="4" t="n"/>
      <c r="B472" s="4" t="n"/>
      <c r="C472" s="4" t="n"/>
      <c r="D472" s="4" t="n"/>
      <c r="E472" s="4" t="n"/>
      <c r="F472" s="4" t="n"/>
      <c r="G472" s="4" t="n"/>
    </row>
    <row r="473" ht="15.75" customHeight="1" s="85">
      <c r="A473" s="4" t="n"/>
      <c r="B473" s="4" t="n"/>
      <c r="C473" s="4" t="n"/>
      <c r="D473" s="4" t="n"/>
      <c r="E473" s="4" t="n"/>
      <c r="F473" s="4" t="n"/>
      <c r="G473" s="4" t="n"/>
    </row>
    <row r="474" ht="15.75" customHeight="1" s="85">
      <c r="A474" s="4" t="n"/>
      <c r="B474" s="4" t="n"/>
      <c r="C474" s="4" t="n"/>
      <c r="D474" s="4" t="n"/>
      <c r="E474" s="4" t="n"/>
      <c r="F474" s="4" t="n"/>
      <c r="G474" s="4" t="n"/>
    </row>
    <row r="475" ht="15.75" customHeight="1" s="85">
      <c r="A475" s="4" t="n"/>
      <c r="B475" s="4" t="n"/>
      <c r="C475" s="4" t="n"/>
      <c r="D475" s="4" t="n"/>
      <c r="E475" s="4" t="n"/>
      <c r="F475" s="4" t="n"/>
      <c r="G475" s="4" t="n"/>
    </row>
    <row r="476" ht="15.75" customHeight="1" s="85">
      <c r="A476" s="4" t="n"/>
      <c r="B476" s="4" t="n"/>
      <c r="C476" s="4" t="n"/>
      <c r="D476" s="4" t="n"/>
      <c r="E476" s="4" t="n"/>
      <c r="F476" s="4" t="n"/>
      <c r="G476" s="4" t="n"/>
    </row>
    <row r="477" ht="15.75" customHeight="1" s="85">
      <c r="A477" s="4" t="n"/>
      <c r="B477" s="4" t="n"/>
      <c r="C477" s="4" t="n"/>
      <c r="D477" s="4" t="n"/>
      <c r="E477" s="4" t="n"/>
      <c r="F477" s="4" t="n"/>
      <c r="G477" s="4" t="n"/>
    </row>
    <row r="478" ht="15.75" customHeight="1" s="85">
      <c r="A478" s="4" t="n"/>
      <c r="B478" s="4" t="n"/>
      <c r="C478" s="4" t="n"/>
      <c r="D478" s="4" t="n"/>
      <c r="E478" s="4" t="n"/>
      <c r="F478" s="4" t="n"/>
      <c r="G478" s="4" t="n"/>
    </row>
    <row r="479" ht="15.75" customHeight="1" s="85">
      <c r="A479" s="4" t="n"/>
      <c r="B479" s="4" t="n"/>
      <c r="C479" s="4" t="n"/>
      <c r="D479" s="4" t="n"/>
      <c r="E479" s="4" t="n"/>
      <c r="F479" s="4" t="n"/>
      <c r="G479" s="4" t="n"/>
    </row>
    <row r="480" ht="15.75" customHeight="1" s="85">
      <c r="A480" s="4" t="n"/>
      <c r="B480" s="4" t="n"/>
      <c r="C480" s="4" t="n"/>
      <c r="D480" s="4" t="n"/>
      <c r="E480" s="4" t="n"/>
      <c r="F480" s="4" t="n"/>
      <c r="G480" s="4" t="n"/>
    </row>
    <row r="481" ht="15.75" customHeight="1" s="85">
      <c r="A481" s="4" t="n"/>
      <c r="B481" s="4" t="n"/>
      <c r="C481" s="4" t="n"/>
      <c r="D481" s="4" t="n"/>
      <c r="E481" s="4" t="n"/>
      <c r="F481" s="4" t="n"/>
      <c r="G481" s="4" t="n"/>
    </row>
    <row r="482" ht="15.75" customHeight="1" s="85">
      <c r="A482" s="4" t="n"/>
      <c r="B482" s="4" t="n"/>
      <c r="C482" s="4" t="n"/>
      <c r="D482" s="4" t="n"/>
      <c r="E482" s="4" t="n"/>
      <c r="F482" s="4" t="n"/>
      <c r="G482" s="4" t="n"/>
    </row>
    <row r="483" ht="15.75" customHeight="1" s="85">
      <c r="A483" s="4" t="n"/>
      <c r="B483" s="4" t="n"/>
      <c r="C483" s="4" t="n"/>
      <c r="D483" s="4" t="n"/>
      <c r="E483" s="4" t="n"/>
      <c r="F483" s="4" t="n"/>
      <c r="G483" s="4" t="n"/>
    </row>
    <row r="484" ht="15.75" customHeight="1" s="85">
      <c r="A484" s="4" t="n"/>
      <c r="B484" s="4" t="n"/>
      <c r="C484" s="4" t="n"/>
      <c r="D484" s="4" t="n"/>
      <c r="E484" s="4" t="n"/>
      <c r="F484" s="4" t="n"/>
      <c r="G484" s="4" t="n"/>
    </row>
    <row r="485" ht="15.75" customHeight="1" s="85">
      <c r="A485" s="4" t="n"/>
      <c r="B485" s="4" t="n"/>
      <c r="C485" s="4" t="n"/>
      <c r="D485" s="4" t="n"/>
      <c r="E485" s="4" t="n"/>
      <c r="F485" s="4" t="n"/>
      <c r="G485" s="4" t="n"/>
    </row>
    <row r="486" ht="15.75" customHeight="1" s="85">
      <c r="A486" s="4" t="n"/>
      <c r="B486" s="4" t="n"/>
      <c r="C486" s="4" t="n"/>
      <c r="D486" s="4" t="n"/>
      <c r="E486" s="4" t="n"/>
      <c r="F486" s="4" t="n"/>
      <c r="G486" s="4" t="n"/>
    </row>
    <row r="487" ht="15.75" customHeight="1" s="85">
      <c r="A487" s="4" t="n"/>
      <c r="B487" s="4" t="n"/>
      <c r="C487" s="4" t="n"/>
      <c r="D487" s="4" t="n"/>
      <c r="E487" s="4" t="n"/>
      <c r="F487" s="4" t="n"/>
      <c r="G487" s="4" t="n"/>
    </row>
    <row r="488" ht="15.75" customHeight="1" s="85">
      <c r="A488" s="4" t="n"/>
      <c r="B488" s="4" t="n"/>
      <c r="C488" s="4" t="n"/>
      <c r="D488" s="4" t="n"/>
      <c r="E488" s="4" t="n"/>
      <c r="F488" s="4" t="n"/>
      <c r="G488" s="4" t="n"/>
    </row>
    <row r="489" ht="15.75" customHeight="1" s="85">
      <c r="A489" s="4" t="n"/>
      <c r="B489" s="4" t="n"/>
      <c r="C489" s="4" t="n"/>
      <c r="D489" s="4" t="n"/>
      <c r="E489" s="4" t="n"/>
      <c r="F489" s="4" t="n"/>
      <c r="G489" s="4" t="n"/>
    </row>
    <row r="490" ht="15.75" customHeight="1" s="85">
      <c r="A490" s="4" t="n"/>
      <c r="B490" s="4" t="n"/>
      <c r="C490" s="4" t="n"/>
      <c r="D490" s="4" t="n"/>
      <c r="E490" s="4" t="n"/>
      <c r="F490" s="4" t="n"/>
      <c r="G490" s="4" t="n"/>
    </row>
    <row r="491" ht="15.75" customHeight="1" s="85">
      <c r="A491" s="4" t="n"/>
      <c r="B491" s="4" t="n"/>
      <c r="C491" s="4" t="n"/>
      <c r="D491" s="4" t="n"/>
      <c r="E491" s="4" t="n"/>
      <c r="F491" s="4" t="n"/>
      <c r="G491" s="4" t="n"/>
    </row>
    <row r="492" ht="15.75" customHeight="1" s="85">
      <c r="A492" s="4" t="n"/>
      <c r="B492" s="4" t="n"/>
      <c r="C492" s="4" t="n"/>
      <c r="D492" s="4" t="n"/>
      <c r="E492" s="4" t="n"/>
      <c r="F492" s="4" t="n"/>
      <c r="G492" s="4" t="n"/>
    </row>
    <row r="493" ht="15.75" customHeight="1" s="85">
      <c r="A493" s="4" t="n"/>
      <c r="B493" s="4" t="n"/>
      <c r="C493" s="4" t="n"/>
      <c r="D493" s="4" t="n"/>
      <c r="E493" s="4" t="n"/>
      <c r="F493" s="4" t="n"/>
      <c r="G493" s="4" t="n"/>
    </row>
    <row r="494" ht="15.75" customHeight="1" s="85">
      <c r="A494" s="4" t="n"/>
      <c r="B494" s="4" t="n"/>
      <c r="C494" s="4" t="n"/>
      <c r="D494" s="4" t="n"/>
      <c r="E494" s="4" t="n"/>
      <c r="F494" s="4" t="n"/>
      <c r="G494" s="4" t="n"/>
    </row>
    <row r="495" ht="15.75" customHeight="1" s="85">
      <c r="A495" s="4" t="n"/>
      <c r="B495" s="4" t="n"/>
      <c r="C495" s="4" t="n"/>
      <c r="D495" s="4" t="n"/>
      <c r="E495" s="4" t="n"/>
      <c r="F495" s="4" t="n"/>
      <c r="G495" s="4" t="n"/>
    </row>
    <row r="496" ht="15.75" customHeight="1" s="85">
      <c r="A496" s="4" t="n"/>
      <c r="B496" s="4" t="n"/>
      <c r="C496" s="4" t="n"/>
      <c r="D496" s="4" t="n"/>
      <c r="E496" s="4" t="n"/>
      <c r="F496" s="4" t="n"/>
      <c r="G496" s="4" t="n"/>
    </row>
    <row r="497" ht="15.75" customHeight="1" s="85">
      <c r="A497" s="4" t="n"/>
      <c r="B497" s="4" t="n"/>
      <c r="C497" s="4" t="n"/>
      <c r="D497" s="4" t="n"/>
      <c r="E497" s="4" t="n"/>
      <c r="F497" s="4" t="n"/>
      <c r="G497" s="4" t="n"/>
    </row>
    <row r="498" ht="15.75" customHeight="1" s="85">
      <c r="A498" s="4" t="n"/>
      <c r="B498" s="4" t="n"/>
      <c r="C498" s="4" t="n"/>
      <c r="D498" s="4" t="n"/>
      <c r="E498" s="4" t="n"/>
      <c r="F498" s="4" t="n"/>
      <c r="G498" s="4" t="n"/>
    </row>
    <row r="499" ht="15.75" customHeight="1" s="85">
      <c r="A499" s="4" t="n"/>
      <c r="B499" s="4" t="n"/>
      <c r="C499" s="4" t="n"/>
      <c r="D499" s="4" t="n"/>
      <c r="E499" s="4" t="n"/>
      <c r="F499" s="4" t="n"/>
      <c r="G499" s="4" t="n"/>
    </row>
    <row r="500" ht="15.75" customHeight="1" s="85">
      <c r="A500" s="4" t="n"/>
      <c r="B500" s="4" t="n"/>
      <c r="C500" s="4" t="n"/>
      <c r="D500" s="4" t="n"/>
      <c r="E500" s="4" t="n"/>
      <c r="F500" s="4" t="n"/>
      <c r="G500" s="4" t="n"/>
    </row>
    <row r="501" ht="15.75" customHeight="1" s="85">
      <c r="A501" s="4" t="n"/>
      <c r="B501" s="4" t="n"/>
      <c r="C501" s="4" t="n"/>
      <c r="D501" s="4" t="n"/>
      <c r="E501" s="4" t="n"/>
      <c r="F501" s="4" t="n"/>
      <c r="G501" s="4" t="n"/>
    </row>
    <row r="502" ht="15.75" customHeight="1" s="85">
      <c r="A502" s="4" t="n"/>
      <c r="B502" s="4" t="n"/>
      <c r="C502" s="4" t="n"/>
      <c r="D502" s="4" t="n"/>
      <c r="E502" s="4" t="n"/>
      <c r="F502" s="4" t="n"/>
      <c r="G502" s="4" t="n"/>
    </row>
    <row r="503" ht="15.75" customHeight="1" s="85">
      <c r="A503" s="4" t="n"/>
      <c r="B503" s="4" t="n"/>
      <c r="C503" s="4" t="n"/>
      <c r="D503" s="4" t="n"/>
      <c r="E503" s="4" t="n"/>
      <c r="F503" s="4" t="n"/>
      <c r="G503" s="4" t="n"/>
    </row>
    <row r="504" ht="15.75" customHeight="1" s="85">
      <c r="A504" s="4" t="n"/>
      <c r="B504" s="4" t="n"/>
      <c r="C504" s="4" t="n"/>
      <c r="D504" s="4" t="n"/>
      <c r="E504" s="4" t="n"/>
      <c r="F504" s="4" t="n"/>
      <c r="G504" s="4" t="n"/>
    </row>
    <row r="505" ht="15.75" customHeight="1" s="85">
      <c r="A505" s="4" t="n"/>
      <c r="B505" s="4" t="n"/>
      <c r="C505" s="4" t="n"/>
      <c r="D505" s="4" t="n"/>
      <c r="E505" s="4" t="n"/>
      <c r="F505" s="4" t="n"/>
      <c r="G505" s="4" t="n"/>
    </row>
    <row r="506" ht="15.75" customHeight="1" s="85">
      <c r="A506" s="4" t="n"/>
      <c r="B506" s="4" t="n"/>
      <c r="C506" s="4" t="n"/>
      <c r="D506" s="4" t="n"/>
      <c r="E506" s="4" t="n"/>
      <c r="F506" s="4" t="n"/>
      <c r="G506" s="4" t="n"/>
    </row>
    <row r="507" ht="15.75" customHeight="1" s="85">
      <c r="A507" s="4" t="n"/>
      <c r="B507" s="4" t="n"/>
      <c r="C507" s="4" t="n"/>
      <c r="D507" s="4" t="n"/>
      <c r="E507" s="4" t="n"/>
      <c r="F507" s="4" t="n"/>
      <c r="G507" s="4" t="n"/>
    </row>
    <row r="508" ht="15.75" customHeight="1" s="85">
      <c r="A508" s="4" t="n"/>
      <c r="B508" s="4" t="n"/>
      <c r="C508" s="4" t="n"/>
      <c r="D508" s="4" t="n"/>
      <c r="E508" s="4" t="n"/>
      <c r="F508" s="4" t="n"/>
      <c r="G508" s="4" t="n"/>
    </row>
    <row r="509" ht="15.75" customHeight="1" s="85">
      <c r="A509" s="4" t="n"/>
      <c r="B509" s="4" t="n"/>
      <c r="C509" s="4" t="n"/>
      <c r="D509" s="4" t="n"/>
      <c r="E509" s="4" t="n"/>
      <c r="F509" s="4" t="n"/>
      <c r="G509" s="4" t="n"/>
    </row>
    <row r="510" ht="15.75" customHeight="1" s="85">
      <c r="A510" s="4" t="n"/>
      <c r="B510" s="4" t="n"/>
      <c r="C510" s="4" t="n"/>
      <c r="D510" s="4" t="n"/>
      <c r="E510" s="4" t="n"/>
      <c r="F510" s="4" t="n"/>
      <c r="G510" s="4" t="n"/>
    </row>
    <row r="511" ht="15.75" customHeight="1" s="85">
      <c r="A511" s="4" t="n"/>
      <c r="B511" s="4" t="n"/>
      <c r="C511" s="4" t="n"/>
      <c r="D511" s="4" t="n"/>
      <c r="E511" s="4" t="n"/>
      <c r="F511" s="4" t="n"/>
      <c r="G511" s="4" t="n"/>
    </row>
    <row r="512" ht="15.75" customHeight="1" s="85">
      <c r="A512" s="4" t="n"/>
      <c r="B512" s="4" t="n"/>
      <c r="C512" s="4" t="n"/>
      <c r="D512" s="4" t="n"/>
      <c r="E512" s="4" t="n"/>
      <c r="F512" s="4" t="n"/>
      <c r="G512" s="4" t="n"/>
    </row>
    <row r="513" ht="15.75" customHeight="1" s="85">
      <c r="A513" s="4" t="n"/>
      <c r="B513" s="4" t="n"/>
      <c r="C513" s="4" t="n"/>
      <c r="D513" s="4" t="n"/>
      <c r="E513" s="4" t="n"/>
      <c r="F513" s="4" t="n"/>
      <c r="G513" s="4" t="n"/>
    </row>
    <row r="514" ht="15.75" customHeight="1" s="85">
      <c r="A514" s="4" t="n"/>
      <c r="B514" s="4" t="n"/>
      <c r="C514" s="4" t="n"/>
      <c r="D514" s="4" t="n"/>
      <c r="E514" s="4" t="n"/>
      <c r="F514" s="4" t="n"/>
      <c r="G514" s="4" t="n"/>
    </row>
    <row r="515" ht="15.75" customHeight="1" s="85">
      <c r="A515" s="4" t="n"/>
      <c r="B515" s="4" t="n"/>
      <c r="C515" s="4" t="n"/>
      <c r="D515" s="4" t="n"/>
      <c r="E515" s="4" t="n"/>
      <c r="F515" s="4" t="n"/>
      <c r="G515" s="4" t="n"/>
    </row>
    <row r="516" ht="15.75" customHeight="1" s="85">
      <c r="A516" s="4" t="n"/>
      <c r="B516" s="4" t="n"/>
      <c r="C516" s="4" t="n"/>
      <c r="D516" s="4" t="n"/>
      <c r="E516" s="4" t="n"/>
      <c r="F516" s="4" t="n"/>
      <c r="G516" s="4" t="n"/>
    </row>
    <row r="517" ht="15.75" customHeight="1" s="85">
      <c r="A517" s="4" t="n"/>
      <c r="B517" s="4" t="n"/>
      <c r="C517" s="4" t="n"/>
      <c r="D517" s="4" t="n"/>
      <c r="E517" s="4" t="n"/>
      <c r="F517" s="4" t="n"/>
      <c r="G517" s="4" t="n"/>
    </row>
    <row r="518" ht="15.75" customHeight="1" s="85">
      <c r="A518" s="4" t="n"/>
      <c r="B518" s="4" t="n"/>
      <c r="C518" s="4" t="n"/>
      <c r="D518" s="4" t="n"/>
      <c r="E518" s="4" t="n"/>
      <c r="F518" s="4" t="n"/>
      <c r="G518" s="4" t="n"/>
    </row>
    <row r="519" ht="15.75" customHeight="1" s="85">
      <c r="A519" s="4" t="n"/>
      <c r="B519" s="4" t="n"/>
      <c r="C519" s="4" t="n"/>
      <c r="D519" s="4" t="n"/>
      <c r="E519" s="4" t="n"/>
      <c r="F519" s="4" t="n"/>
      <c r="G519" s="4" t="n"/>
    </row>
    <row r="520" ht="15.75" customHeight="1" s="85">
      <c r="A520" s="4" t="n"/>
      <c r="B520" s="4" t="n"/>
      <c r="C520" s="4" t="n"/>
      <c r="D520" s="4" t="n"/>
      <c r="E520" s="4" t="n"/>
      <c r="F520" s="4" t="n"/>
      <c r="G520" s="4" t="n"/>
    </row>
    <row r="521" ht="15.75" customHeight="1" s="85">
      <c r="A521" s="4" t="n"/>
      <c r="B521" s="4" t="n"/>
      <c r="C521" s="4" t="n"/>
      <c r="D521" s="4" t="n"/>
      <c r="E521" s="4" t="n"/>
      <c r="F521" s="4" t="n"/>
      <c r="G521" s="4" t="n"/>
    </row>
    <row r="522" ht="15.75" customHeight="1" s="85">
      <c r="A522" s="4" t="n"/>
      <c r="B522" s="4" t="n"/>
      <c r="C522" s="4" t="n"/>
      <c r="D522" s="4" t="n"/>
      <c r="E522" s="4" t="n"/>
      <c r="F522" s="4" t="n"/>
      <c r="G522" s="4" t="n"/>
    </row>
    <row r="523" ht="15.75" customHeight="1" s="85">
      <c r="A523" s="4" t="n"/>
      <c r="B523" s="4" t="n"/>
      <c r="C523" s="4" t="n"/>
      <c r="D523" s="4" t="n"/>
      <c r="E523" s="4" t="n"/>
      <c r="F523" s="4" t="n"/>
      <c r="G523" s="4" t="n"/>
    </row>
    <row r="524" ht="15.75" customHeight="1" s="85">
      <c r="A524" s="4" t="n"/>
      <c r="B524" s="4" t="n"/>
      <c r="C524" s="4" t="n"/>
      <c r="D524" s="4" t="n"/>
      <c r="E524" s="4" t="n"/>
      <c r="F524" s="4" t="n"/>
      <c r="G524" s="4" t="n"/>
    </row>
    <row r="525" ht="15.75" customHeight="1" s="85">
      <c r="A525" s="4" t="n"/>
      <c r="B525" s="4" t="n"/>
      <c r="C525" s="4" t="n"/>
      <c r="D525" s="4" t="n"/>
      <c r="E525" s="4" t="n"/>
      <c r="F525" s="4" t="n"/>
      <c r="G525" s="4" t="n"/>
    </row>
    <row r="526" ht="15.75" customHeight="1" s="85">
      <c r="A526" s="4" t="n"/>
      <c r="B526" s="4" t="n"/>
      <c r="C526" s="4" t="n"/>
      <c r="D526" s="4" t="n"/>
      <c r="E526" s="4" t="n"/>
      <c r="F526" s="4" t="n"/>
      <c r="G526" s="4" t="n"/>
    </row>
    <row r="527" ht="15.75" customHeight="1" s="85">
      <c r="A527" s="4" t="n"/>
      <c r="B527" s="4" t="n"/>
      <c r="C527" s="4" t="n"/>
      <c r="D527" s="4" t="n"/>
      <c r="E527" s="4" t="n"/>
      <c r="F527" s="4" t="n"/>
      <c r="G527" s="4" t="n"/>
    </row>
    <row r="528" ht="15.75" customHeight="1" s="85">
      <c r="A528" s="4" t="n"/>
      <c r="B528" s="4" t="n"/>
      <c r="C528" s="4" t="n"/>
      <c r="D528" s="4" t="n"/>
      <c r="E528" s="4" t="n"/>
      <c r="F528" s="4" t="n"/>
      <c r="G528" s="4" t="n"/>
    </row>
    <row r="529" ht="15.75" customHeight="1" s="85">
      <c r="A529" s="4" t="n"/>
      <c r="B529" s="4" t="n"/>
      <c r="C529" s="4" t="n"/>
      <c r="D529" s="4" t="n"/>
      <c r="E529" s="4" t="n"/>
      <c r="F529" s="4" t="n"/>
      <c r="G529" s="4" t="n"/>
    </row>
    <row r="530" ht="15.75" customHeight="1" s="85">
      <c r="A530" s="4" t="n"/>
      <c r="B530" s="4" t="n"/>
      <c r="C530" s="4" t="n"/>
      <c r="D530" s="4" t="n"/>
      <c r="E530" s="4" t="n"/>
      <c r="F530" s="4" t="n"/>
      <c r="G530" s="4" t="n"/>
    </row>
    <row r="531" ht="15.75" customHeight="1" s="85">
      <c r="A531" s="4" t="n"/>
      <c r="B531" s="4" t="n"/>
      <c r="C531" s="4" t="n"/>
      <c r="D531" s="4" t="n"/>
      <c r="E531" s="4" t="n"/>
      <c r="F531" s="4" t="n"/>
      <c r="G531" s="4" t="n"/>
    </row>
    <row r="532" ht="15.75" customHeight="1" s="85">
      <c r="A532" s="4" t="n"/>
      <c r="B532" s="4" t="n"/>
      <c r="C532" s="4" t="n"/>
      <c r="D532" s="4" t="n"/>
      <c r="E532" s="4" t="n"/>
      <c r="F532" s="4" t="n"/>
      <c r="G532" s="4" t="n"/>
    </row>
    <row r="533" ht="15.75" customHeight="1" s="85">
      <c r="A533" s="4" t="n"/>
      <c r="B533" s="4" t="n"/>
      <c r="C533" s="4" t="n"/>
      <c r="D533" s="4" t="n"/>
      <c r="E533" s="4" t="n"/>
      <c r="F533" s="4" t="n"/>
      <c r="G533" s="4" t="n"/>
    </row>
    <row r="534" ht="15.75" customHeight="1" s="85">
      <c r="A534" s="4" t="n"/>
      <c r="B534" s="4" t="n"/>
      <c r="C534" s="4" t="n"/>
      <c r="D534" s="4" t="n"/>
      <c r="E534" s="4" t="n"/>
      <c r="F534" s="4" t="n"/>
      <c r="G534" s="4" t="n"/>
    </row>
    <row r="535" ht="15.75" customHeight="1" s="85">
      <c r="A535" s="4" t="n"/>
      <c r="B535" s="4" t="n"/>
      <c r="C535" s="4" t="n"/>
      <c r="D535" s="4" t="n"/>
      <c r="E535" s="4" t="n"/>
      <c r="F535" s="4" t="n"/>
      <c r="G535" s="4" t="n"/>
    </row>
    <row r="536" ht="15.75" customHeight="1" s="85">
      <c r="A536" s="4" t="n"/>
      <c r="B536" s="4" t="n"/>
      <c r="C536" s="4" t="n"/>
      <c r="D536" s="4" t="n"/>
      <c r="E536" s="4" t="n"/>
      <c r="F536" s="4" t="n"/>
      <c r="G536" s="4" t="n"/>
    </row>
    <row r="537" ht="15.75" customHeight="1" s="85">
      <c r="A537" s="4" t="n"/>
      <c r="B537" s="4" t="n"/>
      <c r="C537" s="4" t="n"/>
      <c r="D537" s="4" t="n"/>
      <c r="E537" s="4" t="n"/>
      <c r="F537" s="4" t="n"/>
      <c r="G537" s="4" t="n"/>
    </row>
    <row r="538" ht="15.75" customHeight="1" s="85">
      <c r="A538" s="4" t="n"/>
      <c r="B538" s="4" t="n"/>
      <c r="C538" s="4" t="n"/>
      <c r="D538" s="4" t="n"/>
      <c r="E538" s="4" t="n"/>
      <c r="F538" s="4" t="n"/>
      <c r="G538" s="4" t="n"/>
    </row>
    <row r="539" ht="15.75" customHeight="1" s="85">
      <c r="A539" s="4" t="n"/>
      <c r="B539" s="4" t="n"/>
      <c r="C539" s="4" t="n"/>
      <c r="D539" s="4" t="n"/>
      <c r="E539" s="4" t="n"/>
      <c r="F539" s="4" t="n"/>
      <c r="G539" s="4" t="n"/>
    </row>
    <row r="540" ht="15.75" customHeight="1" s="85">
      <c r="A540" s="4" t="n"/>
      <c r="B540" s="4" t="n"/>
      <c r="C540" s="4" t="n"/>
      <c r="D540" s="4" t="n"/>
      <c r="E540" s="4" t="n"/>
      <c r="F540" s="4" t="n"/>
      <c r="G540" s="4" t="n"/>
    </row>
    <row r="541" ht="15.75" customHeight="1" s="85">
      <c r="A541" s="4" t="n"/>
      <c r="B541" s="4" t="n"/>
      <c r="C541" s="4" t="n"/>
      <c r="D541" s="4" t="n"/>
      <c r="E541" s="4" t="n"/>
      <c r="F541" s="4" t="n"/>
      <c r="G541" s="4" t="n"/>
    </row>
    <row r="542" ht="15.75" customHeight="1" s="85">
      <c r="A542" s="4" t="n"/>
      <c r="B542" s="4" t="n"/>
      <c r="C542" s="4" t="n"/>
      <c r="D542" s="4" t="n"/>
      <c r="E542" s="4" t="n"/>
      <c r="F542" s="4" t="n"/>
      <c r="G542" s="4" t="n"/>
    </row>
    <row r="543" ht="15.75" customHeight="1" s="85">
      <c r="A543" s="4" t="n"/>
      <c r="B543" s="4" t="n"/>
      <c r="C543" s="4" t="n"/>
      <c r="D543" s="4" t="n"/>
      <c r="E543" s="4" t="n"/>
      <c r="F543" s="4" t="n"/>
      <c r="G543" s="4" t="n"/>
    </row>
    <row r="544" ht="15.75" customHeight="1" s="85">
      <c r="A544" s="4" t="n"/>
      <c r="B544" s="4" t="n"/>
      <c r="C544" s="4" t="n"/>
      <c r="D544" s="4" t="n"/>
      <c r="E544" s="4" t="n"/>
      <c r="F544" s="4" t="n"/>
      <c r="G544" s="4" t="n"/>
    </row>
    <row r="545" ht="15.75" customHeight="1" s="85">
      <c r="A545" s="4" t="n"/>
      <c r="B545" s="4" t="n"/>
      <c r="C545" s="4" t="n"/>
      <c r="D545" s="4" t="n"/>
      <c r="E545" s="4" t="n"/>
      <c r="F545" s="4" t="n"/>
      <c r="G545" s="4" t="n"/>
    </row>
    <row r="546" ht="15.75" customHeight="1" s="85">
      <c r="A546" s="4" t="n"/>
      <c r="B546" s="4" t="n"/>
      <c r="C546" s="4" t="n"/>
      <c r="D546" s="4" t="n"/>
      <c r="E546" s="4" t="n"/>
      <c r="F546" s="4" t="n"/>
      <c r="G546" s="4" t="n"/>
    </row>
    <row r="547" ht="15.75" customHeight="1" s="85">
      <c r="A547" s="4" t="n"/>
      <c r="B547" s="4" t="n"/>
      <c r="C547" s="4" t="n"/>
      <c r="D547" s="4" t="n"/>
      <c r="E547" s="4" t="n"/>
      <c r="F547" s="4" t="n"/>
      <c r="G547" s="4" t="n"/>
    </row>
    <row r="548" ht="15.75" customHeight="1" s="85">
      <c r="A548" s="4" t="n"/>
      <c r="B548" s="4" t="n"/>
      <c r="C548" s="4" t="n"/>
      <c r="D548" s="4" t="n"/>
      <c r="E548" s="4" t="n"/>
      <c r="F548" s="4" t="n"/>
      <c r="G548" s="4" t="n"/>
    </row>
    <row r="549" ht="15.75" customHeight="1" s="85">
      <c r="A549" s="4" t="n"/>
      <c r="B549" s="4" t="n"/>
      <c r="C549" s="4" t="n"/>
      <c r="D549" s="4" t="n"/>
      <c r="E549" s="4" t="n"/>
      <c r="F549" s="4" t="n"/>
      <c r="G549" s="4" t="n"/>
    </row>
    <row r="550" ht="15.75" customHeight="1" s="85">
      <c r="A550" s="4" t="n"/>
      <c r="B550" s="4" t="n"/>
      <c r="C550" s="4" t="n"/>
      <c r="D550" s="4" t="n"/>
      <c r="E550" s="4" t="n"/>
      <c r="F550" s="4" t="n"/>
      <c r="G550" s="4" t="n"/>
    </row>
    <row r="551" ht="15.75" customHeight="1" s="85">
      <c r="A551" s="4" t="n"/>
      <c r="B551" s="4" t="n"/>
      <c r="C551" s="4" t="n"/>
      <c r="D551" s="4" t="n"/>
      <c r="E551" s="4" t="n"/>
      <c r="F551" s="4" t="n"/>
      <c r="G551" s="4" t="n"/>
    </row>
    <row r="552" ht="15.75" customHeight="1" s="85">
      <c r="A552" s="4" t="n"/>
      <c r="B552" s="4" t="n"/>
      <c r="C552" s="4" t="n"/>
      <c r="D552" s="4" t="n"/>
      <c r="E552" s="4" t="n"/>
      <c r="F552" s="4" t="n"/>
      <c r="G552" s="4" t="n"/>
    </row>
    <row r="553" ht="15.75" customHeight="1" s="85">
      <c r="A553" s="4" t="n"/>
      <c r="B553" s="4" t="n"/>
      <c r="C553" s="4" t="n"/>
      <c r="D553" s="4" t="n"/>
      <c r="E553" s="4" t="n"/>
      <c r="F553" s="4" t="n"/>
      <c r="G553" s="4" t="n"/>
    </row>
    <row r="554" ht="15.75" customHeight="1" s="85">
      <c r="A554" s="4" t="n"/>
      <c r="B554" s="4" t="n"/>
      <c r="C554" s="4" t="n"/>
      <c r="D554" s="4" t="n"/>
      <c r="E554" s="4" t="n"/>
      <c r="F554" s="4" t="n"/>
      <c r="G554" s="4" t="n"/>
    </row>
    <row r="555" ht="15.75" customHeight="1" s="85">
      <c r="A555" s="4" t="n"/>
      <c r="B555" s="4" t="n"/>
      <c r="C555" s="4" t="n"/>
      <c r="D555" s="4" t="n"/>
      <c r="E555" s="4" t="n"/>
      <c r="F555" s="4" t="n"/>
      <c r="G555" s="4" t="n"/>
    </row>
    <row r="556" ht="15.75" customHeight="1" s="85">
      <c r="A556" s="4" t="n"/>
      <c r="B556" s="4" t="n"/>
      <c r="C556" s="4" t="n"/>
      <c r="D556" s="4" t="n"/>
      <c r="E556" s="4" t="n"/>
      <c r="F556" s="4" t="n"/>
      <c r="G556" s="4" t="n"/>
    </row>
    <row r="557" ht="15.75" customHeight="1" s="85">
      <c r="A557" s="4" t="n"/>
      <c r="B557" s="4" t="n"/>
      <c r="C557" s="4" t="n"/>
      <c r="D557" s="4" t="n"/>
      <c r="E557" s="4" t="n"/>
      <c r="F557" s="4" t="n"/>
      <c r="G557" s="4" t="n"/>
    </row>
    <row r="558" ht="15.75" customHeight="1" s="85">
      <c r="A558" s="4" t="n"/>
      <c r="B558" s="4" t="n"/>
      <c r="C558" s="4" t="n"/>
      <c r="D558" s="4" t="n"/>
      <c r="E558" s="4" t="n"/>
      <c r="F558" s="4" t="n"/>
      <c r="G558" s="4" t="n"/>
    </row>
    <row r="559" ht="15.75" customHeight="1" s="85">
      <c r="A559" s="4" t="n"/>
      <c r="B559" s="4" t="n"/>
      <c r="C559" s="4" t="n"/>
      <c r="D559" s="4" t="n"/>
      <c r="E559" s="4" t="n"/>
      <c r="F559" s="4" t="n"/>
      <c r="G559" s="4" t="n"/>
    </row>
    <row r="560" ht="15.75" customHeight="1" s="85">
      <c r="A560" s="4" t="n"/>
      <c r="B560" s="4" t="n"/>
      <c r="C560" s="4" t="n"/>
      <c r="D560" s="4" t="n"/>
      <c r="E560" s="4" t="n"/>
      <c r="F560" s="4" t="n"/>
      <c r="G560" s="4" t="n"/>
    </row>
    <row r="561" ht="15.75" customHeight="1" s="85">
      <c r="A561" s="4" t="n"/>
      <c r="B561" s="4" t="n"/>
      <c r="C561" s="4" t="n"/>
      <c r="D561" s="4" t="n"/>
      <c r="E561" s="4" t="n"/>
      <c r="F561" s="4" t="n"/>
      <c r="G561" s="4" t="n"/>
    </row>
    <row r="562" ht="15.75" customHeight="1" s="85">
      <c r="A562" s="4" t="n"/>
      <c r="B562" s="4" t="n"/>
      <c r="C562" s="4" t="n"/>
      <c r="D562" s="4" t="n"/>
      <c r="E562" s="4" t="n"/>
      <c r="F562" s="4" t="n"/>
      <c r="G562" s="4" t="n"/>
    </row>
    <row r="563" ht="15.75" customHeight="1" s="85">
      <c r="A563" s="4" t="n"/>
      <c r="B563" s="4" t="n"/>
      <c r="C563" s="4" t="n"/>
      <c r="D563" s="4" t="n"/>
      <c r="E563" s="4" t="n"/>
      <c r="F563" s="4" t="n"/>
      <c r="G563" s="4" t="n"/>
    </row>
    <row r="564" ht="15.75" customHeight="1" s="85">
      <c r="A564" s="4" t="n"/>
      <c r="B564" s="4" t="n"/>
      <c r="C564" s="4" t="n"/>
      <c r="D564" s="4" t="n"/>
      <c r="E564" s="4" t="n"/>
      <c r="F564" s="4" t="n"/>
      <c r="G564" s="4" t="n"/>
    </row>
    <row r="565" ht="15.75" customHeight="1" s="85">
      <c r="A565" s="4" t="n"/>
      <c r="B565" s="4" t="n"/>
      <c r="C565" s="4" t="n"/>
      <c r="D565" s="4" t="n"/>
      <c r="E565" s="4" t="n"/>
      <c r="F565" s="4" t="n"/>
      <c r="G565" s="4" t="n"/>
    </row>
    <row r="566" ht="15.75" customHeight="1" s="85">
      <c r="A566" s="4" t="n"/>
      <c r="B566" s="4" t="n"/>
      <c r="C566" s="4" t="n"/>
      <c r="D566" s="4" t="n"/>
      <c r="E566" s="4" t="n"/>
      <c r="F566" s="4" t="n"/>
      <c r="G566" s="4" t="n"/>
    </row>
    <row r="567" ht="15.75" customHeight="1" s="85">
      <c r="A567" s="4" t="n"/>
      <c r="B567" s="4" t="n"/>
      <c r="C567" s="4" t="n"/>
      <c r="D567" s="4" t="n"/>
      <c r="E567" s="4" t="n"/>
      <c r="F567" s="4" t="n"/>
      <c r="G567" s="4" t="n"/>
    </row>
    <row r="568" ht="15.75" customHeight="1" s="85">
      <c r="A568" s="4" t="n"/>
      <c r="B568" s="4" t="n"/>
      <c r="C568" s="4" t="n"/>
      <c r="D568" s="4" t="n"/>
      <c r="E568" s="4" t="n"/>
      <c r="F568" s="4" t="n"/>
      <c r="G568" s="4" t="n"/>
    </row>
    <row r="569" ht="15.75" customHeight="1" s="85">
      <c r="A569" s="4" t="n"/>
      <c r="B569" s="4" t="n"/>
      <c r="C569" s="4" t="n"/>
      <c r="D569" s="4" t="n"/>
      <c r="E569" s="4" t="n"/>
      <c r="F569" s="4" t="n"/>
      <c r="G569" s="4" t="n"/>
    </row>
    <row r="570" ht="15.75" customHeight="1" s="85">
      <c r="A570" s="4" t="n"/>
      <c r="B570" s="4" t="n"/>
      <c r="C570" s="4" t="n"/>
      <c r="D570" s="4" t="n"/>
      <c r="E570" s="4" t="n"/>
      <c r="F570" s="4" t="n"/>
      <c r="G570" s="4" t="n"/>
    </row>
    <row r="571" ht="15.75" customHeight="1" s="85">
      <c r="A571" s="4" t="n"/>
      <c r="B571" s="4" t="n"/>
      <c r="C571" s="4" t="n"/>
      <c r="D571" s="4" t="n"/>
      <c r="E571" s="4" t="n"/>
      <c r="F571" s="4" t="n"/>
      <c r="G571" s="4" t="n"/>
    </row>
    <row r="572" ht="15.75" customHeight="1" s="85">
      <c r="A572" s="4" t="n"/>
      <c r="B572" s="4" t="n"/>
      <c r="C572" s="4" t="n"/>
      <c r="D572" s="4" t="n"/>
      <c r="E572" s="4" t="n"/>
      <c r="F572" s="4" t="n"/>
      <c r="G572" s="4" t="n"/>
    </row>
    <row r="573" ht="15.75" customHeight="1" s="85">
      <c r="A573" s="4" t="n"/>
      <c r="B573" s="4" t="n"/>
      <c r="C573" s="4" t="n"/>
      <c r="D573" s="4" t="n"/>
      <c r="E573" s="4" t="n"/>
      <c r="F573" s="4" t="n"/>
      <c r="G573" s="4" t="n"/>
    </row>
    <row r="574" ht="15.75" customHeight="1" s="85">
      <c r="A574" s="4" t="n"/>
      <c r="B574" s="4" t="n"/>
      <c r="C574" s="4" t="n"/>
      <c r="D574" s="4" t="n"/>
      <c r="E574" s="4" t="n"/>
      <c r="F574" s="4" t="n"/>
      <c r="G574" s="4" t="n"/>
    </row>
    <row r="575" ht="15.75" customHeight="1" s="85">
      <c r="A575" s="4" t="n"/>
      <c r="B575" s="4" t="n"/>
      <c r="C575" s="4" t="n"/>
      <c r="D575" s="4" t="n"/>
      <c r="E575" s="4" t="n"/>
      <c r="F575" s="4" t="n"/>
      <c r="G575" s="4" t="n"/>
    </row>
    <row r="576" ht="15.75" customHeight="1" s="85">
      <c r="A576" s="4" t="n"/>
      <c r="B576" s="4" t="n"/>
      <c r="C576" s="4" t="n"/>
      <c r="D576" s="4" t="n"/>
      <c r="E576" s="4" t="n"/>
      <c r="F576" s="4" t="n"/>
      <c r="G576" s="4" t="n"/>
    </row>
    <row r="577" ht="15.75" customHeight="1" s="85">
      <c r="A577" s="4" t="n"/>
      <c r="B577" s="4" t="n"/>
      <c r="C577" s="4" t="n"/>
      <c r="D577" s="4" t="n"/>
      <c r="E577" s="4" t="n"/>
      <c r="F577" s="4" t="n"/>
      <c r="G577" s="4" t="n"/>
    </row>
    <row r="578" ht="15.75" customHeight="1" s="85">
      <c r="A578" s="4" t="n"/>
      <c r="B578" s="4" t="n"/>
      <c r="C578" s="4" t="n"/>
      <c r="D578" s="4" t="n"/>
      <c r="E578" s="4" t="n"/>
      <c r="F578" s="4" t="n"/>
      <c r="G578" s="4" t="n"/>
    </row>
    <row r="579" ht="15.75" customHeight="1" s="85">
      <c r="A579" s="4" t="n"/>
      <c r="B579" s="4" t="n"/>
      <c r="C579" s="4" t="n"/>
      <c r="D579" s="4" t="n"/>
      <c r="E579" s="4" t="n"/>
      <c r="F579" s="4" t="n"/>
      <c r="G579" s="4" t="n"/>
    </row>
    <row r="580" ht="15.75" customHeight="1" s="85">
      <c r="A580" s="4" t="n"/>
      <c r="B580" s="4" t="n"/>
      <c r="C580" s="4" t="n"/>
      <c r="D580" s="4" t="n"/>
      <c r="E580" s="4" t="n"/>
      <c r="F580" s="4" t="n"/>
      <c r="G580" s="4" t="n"/>
    </row>
    <row r="581" ht="15.75" customHeight="1" s="85">
      <c r="A581" s="4" t="n"/>
      <c r="B581" s="4" t="n"/>
      <c r="C581" s="4" t="n"/>
      <c r="D581" s="4" t="n"/>
      <c r="E581" s="4" t="n"/>
      <c r="F581" s="4" t="n"/>
      <c r="G581" s="4" t="n"/>
    </row>
    <row r="582" ht="15.75" customHeight="1" s="85">
      <c r="A582" s="4" t="n"/>
      <c r="B582" s="4" t="n"/>
      <c r="C582" s="4" t="n"/>
      <c r="D582" s="4" t="n"/>
      <c r="E582" s="4" t="n"/>
      <c r="F582" s="4" t="n"/>
      <c r="G582" s="4" t="n"/>
    </row>
    <row r="583" ht="15.75" customHeight="1" s="85">
      <c r="A583" s="4" t="n"/>
      <c r="B583" s="4" t="n"/>
      <c r="C583" s="4" t="n"/>
      <c r="D583" s="4" t="n"/>
      <c r="E583" s="4" t="n"/>
      <c r="F583" s="4" t="n"/>
      <c r="G583" s="4" t="n"/>
    </row>
    <row r="584" ht="15.75" customHeight="1" s="85">
      <c r="A584" s="4" t="n"/>
      <c r="B584" s="4" t="n"/>
      <c r="C584" s="4" t="n"/>
      <c r="D584" s="4" t="n"/>
      <c r="E584" s="4" t="n"/>
      <c r="F584" s="4" t="n"/>
      <c r="G584" s="4" t="n"/>
    </row>
    <row r="585" ht="15.75" customHeight="1" s="85">
      <c r="A585" s="4" t="n"/>
      <c r="B585" s="4" t="n"/>
      <c r="C585" s="4" t="n"/>
      <c r="D585" s="4" t="n"/>
      <c r="E585" s="4" t="n"/>
      <c r="F585" s="4" t="n"/>
      <c r="G585" s="4" t="n"/>
    </row>
    <row r="586" ht="15.75" customHeight="1" s="85">
      <c r="A586" s="4" t="n"/>
      <c r="B586" s="4" t="n"/>
      <c r="C586" s="4" t="n"/>
      <c r="D586" s="4" t="n"/>
      <c r="E586" s="4" t="n"/>
      <c r="F586" s="4" t="n"/>
      <c r="G586" s="4" t="n"/>
    </row>
    <row r="587" ht="15.75" customHeight="1" s="85">
      <c r="A587" s="4" t="n"/>
      <c r="B587" s="4" t="n"/>
      <c r="C587" s="4" t="n"/>
      <c r="D587" s="4" t="n"/>
      <c r="E587" s="4" t="n"/>
      <c r="F587" s="4" t="n"/>
      <c r="G587" s="4" t="n"/>
    </row>
    <row r="588" ht="15.75" customHeight="1" s="85">
      <c r="A588" s="4" t="n"/>
      <c r="B588" s="4" t="n"/>
      <c r="C588" s="4" t="n"/>
      <c r="D588" s="4" t="n"/>
      <c r="E588" s="4" t="n"/>
      <c r="F588" s="4" t="n"/>
      <c r="G588" s="4" t="n"/>
    </row>
    <row r="589" ht="15.75" customHeight="1" s="85">
      <c r="A589" s="4" t="n"/>
      <c r="B589" s="4" t="n"/>
      <c r="C589" s="4" t="n"/>
      <c r="D589" s="4" t="n"/>
      <c r="E589" s="4" t="n"/>
      <c r="F589" s="4" t="n"/>
      <c r="G589" s="4" t="n"/>
    </row>
    <row r="590" ht="15.75" customHeight="1" s="85">
      <c r="A590" s="4" t="n"/>
      <c r="B590" s="4" t="n"/>
      <c r="C590" s="4" t="n"/>
      <c r="D590" s="4" t="n"/>
      <c r="E590" s="4" t="n"/>
      <c r="F590" s="4" t="n"/>
      <c r="G590" s="4" t="n"/>
    </row>
    <row r="591" ht="15.75" customHeight="1" s="85">
      <c r="A591" s="4" t="n"/>
      <c r="B591" s="4" t="n"/>
      <c r="C591" s="4" t="n"/>
      <c r="D591" s="4" t="n"/>
      <c r="E591" s="4" t="n"/>
      <c r="F591" s="4" t="n"/>
      <c r="G591" s="4" t="n"/>
    </row>
    <row r="592" ht="15.75" customHeight="1" s="85">
      <c r="A592" s="4" t="n"/>
      <c r="B592" s="4" t="n"/>
      <c r="C592" s="4" t="n"/>
      <c r="D592" s="4" t="n"/>
      <c r="E592" s="4" t="n"/>
      <c r="F592" s="4" t="n"/>
      <c r="G592" s="4" t="n"/>
    </row>
    <row r="593" ht="15.75" customHeight="1" s="85">
      <c r="A593" s="4" t="n"/>
      <c r="B593" s="4" t="n"/>
      <c r="C593" s="4" t="n"/>
      <c r="D593" s="4" t="n"/>
      <c r="E593" s="4" t="n"/>
      <c r="F593" s="4" t="n"/>
      <c r="G593" s="4" t="n"/>
    </row>
    <row r="594" ht="15.75" customHeight="1" s="85">
      <c r="A594" s="4" t="n"/>
      <c r="B594" s="4" t="n"/>
      <c r="C594" s="4" t="n"/>
      <c r="D594" s="4" t="n"/>
      <c r="E594" s="4" t="n"/>
      <c r="F594" s="4" t="n"/>
      <c r="G594" s="4" t="n"/>
    </row>
    <row r="595" ht="15.75" customHeight="1" s="85">
      <c r="A595" s="4" t="n"/>
      <c r="B595" s="4" t="n"/>
      <c r="C595" s="4" t="n"/>
      <c r="D595" s="4" t="n"/>
      <c r="E595" s="4" t="n"/>
      <c r="F595" s="4" t="n"/>
      <c r="G595" s="4" t="n"/>
    </row>
    <row r="596" ht="15.75" customHeight="1" s="85">
      <c r="A596" s="4" t="n"/>
      <c r="B596" s="4" t="n"/>
      <c r="C596" s="4" t="n"/>
      <c r="D596" s="4" t="n"/>
      <c r="E596" s="4" t="n"/>
      <c r="F596" s="4" t="n"/>
      <c r="G596" s="4" t="n"/>
    </row>
    <row r="597" ht="15.75" customHeight="1" s="85">
      <c r="A597" s="4" t="n"/>
      <c r="B597" s="4" t="n"/>
      <c r="C597" s="4" t="n"/>
      <c r="D597" s="4" t="n"/>
      <c r="E597" s="4" t="n"/>
      <c r="F597" s="4" t="n"/>
      <c r="G597" s="4" t="n"/>
    </row>
    <row r="598" ht="15.75" customHeight="1" s="85">
      <c r="A598" s="4" t="n"/>
      <c r="B598" s="4" t="n"/>
      <c r="C598" s="4" t="n"/>
      <c r="D598" s="4" t="n"/>
      <c r="E598" s="4" t="n"/>
      <c r="F598" s="4" t="n"/>
      <c r="G598" s="4" t="n"/>
    </row>
    <row r="599" ht="15.75" customHeight="1" s="85">
      <c r="A599" s="4" t="n"/>
      <c r="B599" s="4" t="n"/>
      <c r="C599" s="4" t="n"/>
      <c r="D599" s="4" t="n"/>
      <c r="E599" s="4" t="n"/>
      <c r="F599" s="4" t="n"/>
      <c r="G599" s="4" t="n"/>
    </row>
    <row r="600" ht="15.75" customHeight="1" s="85">
      <c r="A600" s="4" t="n"/>
      <c r="B600" s="4" t="n"/>
      <c r="C600" s="4" t="n"/>
      <c r="D600" s="4" t="n"/>
      <c r="E600" s="4" t="n"/>
      <c r="F600" s="4" t="n"/>
      <c r="G600" s="4" t="n"/>
    </row>
    <row r="601" ht="15.75" customHeight="1" s="85">
      <c r="A601" s="4" t="n"/>
      <c r="B601" s="4" t="n"/>
      <c r="C601" s="4" t="n"/>
      <c r="D601" s="4" t="n"/>
      <c r="E601" s="4" t="n"/>
      <c r="F601" s="4" t="n"/>
      <c r="G601" s="4" t="n"/>
    </row>
    <row r="602" ht="15.75" customHeight="1" s="85">
      <c r="A602" s="4" t="n"/>
      <c r="B602" s="4" t="n"/>
      <c r="C602" s="4" t="n"/>
      <c r="D602" s="4" t="n"/>
      <c r="E602" s="4" t="n"/>
      <c r="F602" s="4" t="n"/>
      <c r="G602" s="4" t="n"/>
    </row>
    <row r="603" ht="15.75" customHeight="1" s="85">
      <c r="A603" s="4" t="n"/>
      <c r="B603" s="4" t="n"/>
      <c r="C603" s="4" t="n"/>
      <c r="D603" s="4" t="n"/>
      <c r="E603" s="4" t="n"/>
      <c r="F603" s="4" t="n"/>
      <c r="G603" s="4" t="n"/>
    </row>
    <row r="604" ht="15.75" customHeight="1" s="85">
      <c r="A604" s="4" t="n"/>
      <c r="B604" s="4" t="n"/>
      <c r="C604" s="4" t="n"/>
      <c r="D604" s="4" t="n"/>
      <c r="E604" s="4" t="n"/>
      <c r="F604" s="4" t="n"/>
      <c r="G604" s="4" t="n"/>
    </row>
    <row r="605" ht="15.75" customHeight="1" s="85">
      <c r="A605" s="4" t="n"/>
      <c r="B605" s="4" t="n"/>
      <c r="C605" s="4" t="n"/>
      <c r="D605" s="4" t="n"/>
      <c r="E605" s="4" t="n"/>
      <c r="F605" s="4" t="n"/>
      <c r="G605" s="4" t="n"/>
    </row>
    <row r="606" ht="15.75" customHeight="1" s="85">
      <c r="A606" s="4" t="n"/>
      <c r="B606" s="4" t="n"/>
      <c r="C606" s="4" t="n"/>
      <c r="D606" s="4" t="n"/>
      <c r="E606" s="4" t="n"/>
      <c r="F606" s="4" t="n"/>
      <c r="G606" s="4" t="n"/>
    </row>
    <row r="607" ht="15.75" customHeight="1" s="85">
      <c r="A607" s="4" t="n"/>
      <c r="B607" s="4" t="n"/>
      <c r="C607" s="4" t="n"/>
      <c r="D607" s="4" t="n"/>
      <c r="E607" s="4" t="n"/>
      <c r="F607" s="4" t="n"/>
      <c r="G607" s="4" t="n"/>
    </row>
    <row r="608" ht="15.75" customHeight="1" s="85">
      <c r="A608" s="4" t="n"/>
      <c r="B608" s="4" t="n"/>
      <c r="C608" s="4" t="n"/>
      <c r="D608" s="4" t="n"/>
      <c r="E608" s="4" t="n"/>
      <c r="F608" s="4" t="n"/>
      <c r="G608" s="4" t="n"/>
    </row>
    <row r="609" ht="15.75" customHeight="1" s="85">
      <c r="A609" s="4" t="n"/>
      <c r="B609" s="4" t="n"/>
      <c r="C609" s="4" t="n"/>
      <c r="D609" s="4" t="n"/>
      <c r="E609" s="4" t="n"/>
      <c r="F609" s="4" t="n"/>
      <c r="G609" s="4" t="n"/>
    </row>
    <row r="610" ht="15.75" customHeight="1" s="85">
      <c r="A610" s="4" t="n"/>
      <c r="B610" s="4" t="n"/>
      <c r="C610" s="4" t="n"/>
      <c r="D610" s="4" t="n"/>
      <c r="E610" s="4" t="n"/>
      <c r="F610" s="4" t="n"/>
      <c r="G610" s="4" t="n"/>
    </row>
    <row r="611" ht="15.75" customHeight="1" s="85">
      <c r="A611" s="4" t="n"/>
      <c r="B611" s="4" t="n"/>
      <c r="C611" s="4" t="n"/>
      <c r="D611" s="4" t="n"/>
      <c r="E611" s="4" t="n"/>
      <c r="F611" s="4" t="n"/>
      <c r="G611" s="4" t="n"/>
    </row>
    <row r="612" ht="15.75" customHeight="1" s="85">
      <c r="A612" s="4" t="n"/>
      <c r="B612" s="4" t="n"/>
      <c r="C612" s="4" t="n"/>
      <c r="D612" s="4" t="n"/>
      <c r="E612" s="4" t="n"/>
      <c r="F612" s="4" t="n"/>
      <c r="G612" s="4" t="n"/>
    </row>
    <row r="613" ht="15.75" customHeight="1" s="85">
      <c r="A613" s="4" t="n"/>
      <c r="B613" s="4" t="n"/>
      <c r="C613" s="4" t="n"/>
      <c r="D613" s="4" t="n"/>
      <c r="E613" s="4" t="n"/>
      <c r="F613" s="4" t="n"/>
      <c r="G613" s="4" t="n"/>
    </row>
    <row r="614" ht="15.75" customHeight="1" s="85">
      <c r="A614" s="4" t="n"/>
      <c r="B614" s="4" t="n"/>
      <c r="C614" s="4" t="n"/>
      <c r="D614" s="4" t="n"/>
      <c r="E614" s="4" t="n"/>
      <c r="F614" s="4" t="n"/>
      <c r="G614" s="4" t="n"/>
    </row>
    <row r="615" ht="15.75" customHeight="1" s="85">
      <c r="A615" s="4" t="n"/>
      <c r="B615" s="4" t="n"/>
      <c r="C615" s="4" t="n"/>
      <c r="D615" s="4" t="n"/>
      <c r="E615" s="4" t="n"/>
      <c r="F615" s="4" t="n"/>
      <c r="G615" s="4" t="n"/>
    </row>
    <row r="616" ht="15.75" customHeight="1" s="85">
      <c r="A616" s="4" t="n"/>
      <c r="B616" s="4" t="n"/>
      <c r="C616" s="4" t="n"/>
      <c r="D616" s="4" t="n"/>
      <c r="E616" s="4" t="n"/>
      <c r="F616" s="4" t="n"/>
      <c r="G616" s="4" t="n"/>
    </row>
    <row r="617" ht="15.75" customHeight="1" s="85">
      <c r="A617" s="4" t="n"/>
      <c r="B617" s="4" t="n"/>
      <c r="C617" s="4" t="n"/>
      <c r="D617" s="4" t="n"/>
      <c r="E617" s="4" t="n"/>
      <c r="F617" s="4" t="n"/>
      <c r="G617" s="4" t="n"/>
    </row>
    <row r="618" ht="15.75" customHeight="1" s="85">
      <c r="A618" s="4" t="n"/>
      <c r="B618" s="4" t="n"/>
      <c r="C618" s="4" t="n"/>
      <c r="D618" s="4" t="n"/>
      <c r="E618" s="4" t="n"/>
      <c r="F618" s="4" t="n"/>
      <c r="G618" s="4" t="n"/>
    </row>
    <row r="619" ht="15.75" customHeight="1" s="85">
      <c r="A619" s="4" t="n"/>
      <c r="B619" s="4" t="n"/>
      <c r="C619" s="4" t="n"/>
      <c r="D619" s="4" t="n"/>
      <c r="E619" s="4" t="n"/>
      <c r="F619" s="4" t="n"/>
      <c r="G619" s="4" t="n"/>
    </row>
    <row r="620" ht="15.75" customHeight="1" s="85">
      <c r="A620" s="4" t="n"/>
      <c r="B620" s="4" t="n"/>
      <c r="C620" s="4" t="n"/>
      <c r="D620" s="4" t="n"/>
      <c r="E620" s="4" t="n"/>
      <c r="F620" s="4" t="n"/>
      <c r="G620" s="4" t="n"/>
    </row>
    <row r="621" ht="15.75" customHeight="1" s="85">
      <c r="A621" s="4" t="n"/>
      <c r="B621" s="4" t="n"/>
      <c r="C621" s="4" t="n"/>
      <c r="D621" s="4" t="n"/>
      <c r="E621" s="4" t="n"/>
      <c r="F621" s="4" t="n"/>
      <c r="G621" s="4" t="n"/>
    </row>
    <row r="622" ht="15.75" customHeight="1" s="85">
      <c r="A622" s="4" t="n"/>
      <c r="B622" s="4" t="n"/>
      <c r="C622" s="4" t="n"/>
      <c r="D622" s="4" t="n"/>
      <c r="E622" s="4" t="n"/>
      <c r="F622" s="4" t="n"/>
      <c r="G622" s="4" t="n"/>
    </row>
    <row r="623" ht="15.75" customHeight="1" s="85">
      <c r="A623" s="4" t="n"/>
      <c r="B623" s="4" t="n"/>
      <c r="C623" s="4" t="n"/>
      <c r="D623" s="4" t="n"/>
      <c r="E623" s="4" t="n"/>
      <c r="F623" s="4" t="n"/>
      <c r="G623" s="4" t="n"/>
    </row>
    <row r="624" ht="15.75" customHeight="1" s="85">
      <c r="A624" s="4" t="n"/>
      <c r="B624" s="4" t="n"/>
      <c r="C624" s="4" t="n"/>
      <c r="D624" s="4" t="n"/>
      <c r="E624" s="4" t="n"/>
      <c r="F624" s="4" t="n"/>
      <c r="G624" s="4" t="n"/>
    </row>
    <row r="625" ht="15.75" customHeight="1" s="85">
      <c r="A625" s="4" t="n"/>
      <c r="B625" s="4" t="n"/>
      <c r="C625" s="4" t="n"/>
      <c r="D625" s="4" t="n"/>
      <c r="E625" s="4" t="n"/>
      <c r="F625" s="4" t="n"/>
      <c r="G625" s="4" t="n"/>
    </row>
    <row r="626" ht="15.75" customHeight="1" s="85">
      <c r="A626" s="4" t="n"/>
      <c r="B626" s="4" t="n"/>
      <c r="C626" s="4" t="n"/>
      <c r="D626" s="4" t="n"/>
      <c r="E626" s="4" t="n"/>
      <c r="F626" s="4" t="n"/>
      <c r="G626" s="4" t="n"/>
    </row>
    <row r="627" ht="15.75" customHeight="1" s="85">
      <c r="A627" s="4" t="n"/>
      <c r="B627" s="4" t="n"/>
      <c r="C627" s="4" t="n"/>
      <c r="D627" s="4" t="n"/>
      <c r="E627" s="4" t="n"/>
      <c r="F627" s="4" t="n"/>
      <c r="G627" s="4" t="n"/>
    </row>
    <row r="628" ht="15.75" customHeight="1" s="85">
      <c r="A628" s="4" t="n"/>
      <c r="B628" s="4" t="n"/>
      <c r="C628" s="4" t="n"/>
      <c r="D628" s="4" t="n"/>
      <c r="E628" s="4" t="n"/>
      <c r="F628" s="4" t="n"/>
      <c r="G628" s="4" t="n"/>
    </row>
    <row r="629" ht="15.75" customHeight="1" s="85">
      <c r="A629" s="4" t="n"/>
      <c r="B629" s="4" t="n"/>
      <c r="C629" s="4" t="n"/>
      <c r="D629" s="4" t="n"/>
      <c r="E629" s="4" t="n"/>
      <c r="F629" s="4" t="n"/>
      <c r="G629" s="4" t="n"/>
    </row>
    <row r="630" ht="15.75" customHeight="1" s="85">
      <c r="A630" s="4" t="n"/>
      <c r="B630" s="4" t="n"/>
      <c r="C630" s="4" t="n"/>
      <c r="D630" s="4" t="n"/>
      <c r="E630" s="4" t="n"/>
      <c r="F630" s="4" t="n"/>
      <c r="G630" s="4" t="n"/>
    </row>
    <row r="631" ht="15.75" customHeight="1" s="85">
      <c r="A631" s="4" t="n"/>
      <c r="B631" s="4" t="n"/>
      <c r="C631" s="4" t="n"/>
      <c r="D631" s="4" t="n"/>
      <c r="E631" s="4" t="n"/>
      <c r="F631" s="4" t="n"/>
      <c r="G631" s="4" t="n"/>
    </row>
    <row r="632" ht="15.75" customHeight="1" s="85">
      <c r="A632" s="4" t="n"/>
      <c r="B632" s="4" t="n"/>
      <c r="C632" s="4" t="n"/>
      <c r="D632" s="4" t="n"/>
      <c r="E632" s="4" t="n"/>
      <c r="F632" s="4" t="n"/>
      <c r="G632" s="4" t="n"/>
    </row>
    <row r="633" ht="15.75" customHeight="1" s="85">
      <c r="A633" s="4" t="n"/>
      <c r="B633" s="4" t="n"/>
      <c r="C633" s="4" t="n"/>
      <c r="D633" s="4" t="n"/>
      <c r="E633" s="4" t="n"/>
      <c r="F633" s="4" t="n"/>
      <c r="G633" s="4" t="n"/>
    </row>
    <row r="634" ht="15.75" customHeight="1" s="85">
      <c r="A634" s="4" t="n"/>
      <c r="B634" s="4" t="n"/>
      <c r="C634" s="4" t="n"/>
      <c r="D634" s="4" t="n"/>
      <c r="E634" s="4" t="n"/>
      <c r="F634" s="4" t="n"/>
      <c r="G634" s="4" t="n"/>
    </row>
    <row r="635" ht="15.75" customHeight="1" s="85">
      <c r="A635" s="4" t="n"/>
      <c r="B635" s="4" t="n"/>
      <c r="C635" s="4" t="n"/>
      <c r="D635" s="4" t="n"/>
      <c r="E635" s="4" t="n"/>
      <c r="F635" s="4" t="n"/>
      <c r="G635" s="4" t="n"/>
    </row>
    <row r="636" ht="15.75" customHeight="1" s="85">
      <c r="A636" s="4" t="n"/>
      <c r="B636" s="4" t="n"/>
      <c r="C636" s="4" t="n"/>
      <c r="D636" s="4" t="n"/>
      <c r="E636" s="4" t="n"/>
      <c r="F636" s="4" t="n"/>
      <c r="G636" s="4" t="n"/>
    </row>
    <row r="637" ht="15.75" customHeight="1" s="85">
      <c r="A637" s="4" t="n"/>
      <c r="B637" s="4" t="n"/>
      <c r="C637" s="4" t="n"/>
      <c r="D637" s="4" t="n"/>
      <c r="E637" s="4" t="n"/>
      <c r="F637" s="4" t="n"/>
      <c r="G637" s="4" t="n"/>
    </row>
    <row r="638" ht="15.75" customHeight="1" s="85">
      <c r="A638" s="4" t="n"/>
      <c r="B638" s="4" t="n"/>
      <c r="C638" s="4" t="n"/>
      <c r="D638" s="4" t="n"/>
      <c r="E638" s="4" t="n"/>
      <c r="F638" s="4" t="n"/>
      <c r="G638" s="4" t="n"/>
    </row>
    <row r="639" ht="15.75" customHeight="1" s="85">
      <c r="A639" s="4" t="n"/>
      <c r="B639" s="4" t="n"/>
      <c r="C639" s="4" t="n"/>
      <c r="D639" s="4" t="n"/>
      <c r="E639" s="4" t="n"/>
      <c r="F639" s="4" t="n"/>
      <c r="G639" s="4" t="n"/>
    </row>
    <row r="640" ht="15.75" customHeight="1" s="85">
      <c r="A640" s="4" t="n"/>
      <c r="B640" s="4" t="n"/>
      <c r="C640" s="4" t="n"/>
      <c r="D640" s="4" t="n"/>
      <c r="E640" s="4" t="n"/>
      <c r="F640" s="4" t="n"/>
      <c r="G640" s="4" t="n"/>
    </row>
    <row r="641" ht="15.75" customHeight="1" s="85">
      <c r="A641" s="4" t="n"/>
      <c r="B641" s="4" t="n"/>
      <c r="C641" s="4" t="n"/>
      <c r="D641" s="4" t="n"/>
      <c r="E641" s="4" t="n"/>
      <c r="F641" s="4" t="n"/>
      <c r="G641" s="4" t="n"/>
    </row>
    <row r="642" ht="15.75" customHeight="1" s="85">
      <c r="A642" s="4" t="n"/>
      <c r="B642" s="4" t="n"/>
      <c r="C642" s="4" t="n"/>
      <c r="D642" s="4" t="n"/>
      <c r="E642" s="4" t="n"/>
      <c r="F642" s="4" t="n"/>
      <c r="G642" s="4" t="n"/>
    </row>
    <row r="643" ht="15.75" customHeight="1" s="85">
      <c r="A643" s="4" t="n"/>
      <c r="B643" s="4" t="n"/>
      <c r="C643" s="4" t="n"/>
      <c r="D643" s="4" t="n"/>
      <c r="E643" s="4" t="n"/>
      <c r="F643" s="4" t="n"/>
      <c r="G643" s="4" t="n"/>
    </row>
    <row r="644" ht="15.75" customHeight="1" s="85">
      <c r="A644" s="4" t="n"/>
      <c r="B644" s="4" t="n"/>
      <c r="C644" s="4" t="n"/>
      <c r="D644" s="4" t="n"/>
      <c r="E644" s="4" t="n"/>
      <c r="F644" s="4" t="n"/>
      <c r="G644" s="4" t="n"/>
    </row>
    <row r="645" ht="15.75" customHeight="1" s="85">
      <c r="A645" s="4" t="n"/>
      <c r="B645" s="4" t="n"/>
      <c r="C645" s="4" t="n"/>
      <c r="D645" s="4" t="n"/>
      <c r="E645" s="4" t="n"/>
      <c r="F645" s="4" t="n"/>
      <c r="G645" s="4" t="n"/>
    </row>
    <row r="646" ht="15.75" customHeight="1" s="85">
      <c r="A646" s="4" t="n"/>
      <c r="B646" s="4" t="n"/>
      <c r="C646" s="4" t="n"/>
      <c r="D646" s="4" t="n"/>
      <c r="E646" s="4" t="n"/>
      <c r="F646" s="4" t="n"/>
      <c r="G646" s="4" t="n"/>
    </row>
    <row r="647" ht="15.75" customHeight="1" s="85">
      <c r="A647" s="4" t="n"/>
      <c r="B647" s="4" t="n"/>
      <c r="C647" s="4" t="n"/>
      <c r="D647" s="4" t="n"/>
      <c r="E647" s="4" t="n"/>
      <c r="F647" s="4" t="n"/>
      <c r="G647" s="4" t="n"/>
    </row>
    <row r="648" ht="15.75" customHeight="1" s="85">
      <c r="A648" s="4" t="n"/>
      <c r="B648" s="4" t="n"/>
      <c r="C648" s="4" t="n"/>
      <c r="D648" s="4" t="n"/>
      <c r="E648" s="4" t="n"/>
      <c r="F648" s="4" t="n"/>
      <c r="G648" s="4" t="n"/>
    </row>
    <row r="649" ht="15.75" customHeight="1" s="85">
      <c r="A649" s="4" t="n"/>
      <c r="B649" s="4" t="n"/>
      <c r="C649" s="4" t="n"/>
      <c r="D649" s="4" t="n"/>
      <c r="E649" s="4" t="n"/>
      <c r="F649" s="4" t="n"/>
      <c r="G649" s="4" t="n"/>
    </row>
    <row r="650" ht="15.75" customHeight="1" s="85">
      <c r="A650" s="4" t="n"/>
      <c r="B650" s="4" t="n"/>
      <c r="C650" s="4" t="n"/>
      <c r="D650" s="4" t="n"/>
      <c r="E650" s="4" t="n"/>
      <c r="F650" s="4" t="n"/>
      <c r="G650" s="4" t="n"/>
    </row>
    <row r="651" ht="15.75" customHeight="1" s="85">
      <c r="A651" s="4" t="n"/>
      <c r="B651" s="4" t="n"/>
      <c r="C651" s="4" t="n"/>
      <c r="D651" s="4" t="n"/>
      <c r="E651" s="4" t="n"/>
      <c r="F651" s="4" t="n"/>
      <c r="G651" s="4" t="n"/>
    </row>
    <row r="652" ht="15.75" customHeight="1" s="85">
      <c r="A652" s="4" t="n"/>
      <c r="B652" s="4" t="n"/>
      <c r="C652" s="4" t="n"/>
      <c r="D652" s="4" t="n"/>
      <c r="E652" s="4" t="n"/>
      <c r="F652" s="4" t="n"/>
      <c r="G652" s="4" t="n"/>
    </row>
    <row r="653" ht="15.75" customHeight="1" s="85">
      <c r="A653" s="4" t="n"/>
      <c r="B653" s="4" t="n"/>
      <c r="C653" s="4" t="n"/>
      <c r="D653" s="4" t="n"/>
      <c r="E653" s="4" t="n"/>
      <c r="F653" s="4" t="n"/>
      <c r="G653" s="4" t="n"/>
    </row>
    <row r="654" ht="15.75" customHeight="1" s="85">
      <c r="A654" s="4" t="n"/>
      <c r="B654" s="4" t="n"/>
      <c r="C654" s="4" t="n"/>
      <c r="D654" s="4" t="n"/>
      <c r="E654" s="4" t="n"/>
      <c r="F654" s="4" t="n"/>
      <c r="G654" s="4" t="n"/>
    </row>
    <row r="655" ht="15.75" customHeight="1" s="85">
      <c r="A655" s="4" t="n"/>
      <c r="B655" s="4" t="n"/>
      <c r="C655" s="4" t="n"/>
      <c r="D655" s="4" t="n"/>
      <c r="E655" s="4" t="n"/>
      <c r="F655" s="4" t="n"/>
      <c r="G655" s="4" t="n"/>
    </row>
    <row r="656" ht="15.75" customHeight="1" s="85">
      <c r="A656" s="4" t="n"/>
      <c r="B656" s="4" t="n"/>
      <c r="C656" s="4" t="n"/>
      <c r="D656" s="4" t="n"/>
      <c r="E656" s="4" t="n"/>
      <c r="F656" s="4" t="n"/>
      <c r="G656" s="4" t="n"/>
    </row>
    <row r="657" ht="15.75" customHeight="1" s="85">
      <c r="A657" s="4" t="n"/>
      <c r="B657" s="4" t="n"/>
      <c r="C657" s="4" t="n"/>
      <c r="D657" s="4" t="n"/>
      <c r="E657" s="4" t="n"/>
      <c r="F657" s="4" t="n"/>
      <c r="G657" s="4" t="n"/>
    </row>
    <row r="658" ht="15.75" customHeight="1" s="85">
      <c r="A658" s="4" t="n"/>
      <c r="B658" s="4" t="n"/>
      <c r="C658" s="4" t="n"/>
      <c r="D658" s="4" t="n"/>
      <c r="E658" s="4" t="n"/>
      <c r="F658" s="4" t="n"/>
      <c r="G658" s="4" t="n"/>
    </row>
    <row r="659" ht="15.75" customHeight="1" s="85">
      <c r="A659" s="4" t="n"/>
      <c r="B659" s="4" t="n"/>
      <c r="C659" s="4" t="n"/>
      <c r="D659" s="4" t="n"/>
      <c r="E659" s="4" t="n"/>
      <c r="F659" s="4" t="n"/>
      <c r="G659" s="4" t="n"/>
    </row>
    <row r="660" ht="15.75" customHeight="1" s="85">
      <c r="A660" s="4" t="n"/>
      <c r="B660" s="4" t="n"/>
      <c r="C660" s="4" t="n"/>
      <c r="D660" s="4" t="n"/>
      <c r="E660" s="4" t="n"/>
      <c r="F660" s="4" t="n"/>
      <c r="G660" s="4" t="n"/>
    </row>
    <row r="661" ht="15.75" customHeight="1" s="85">
      <c r="A661" s="4" t="n"/>
      <c r="B661" s="4" t="n"/>
      <c r="C661" s="4" t="n"/>
      <c r="D661" s="4" t="n"/>
      <c r="E661" s="4" t="n"/>
      <c r="F661" s="4" t="n"/>
      <c r="G661" s="4" t="n"/>
    </row>
    <row r="662" ht="15.75" customHeight="1" s="85">
      <c r="A662" s="4" t="n"/>
      <c r="B662" s="4" t="n"/>
      <c r="C662" s="4" t="n"/>
      <c r="D662" s="4" t="n"/>
      <c r="E662" s="4" t="n"/>
      <c r="F662" s="4" t="n"/>
      <c r="G662" s="4" t="n"/>
    </row>
    <row r="663" ht="15.75" customHeight="1" s="85">
      <c r="A663" s="4" t="n"/>
      <c r="B663" s="4" t="n"/>
      <c r="C663" s="4" t="n"/>
      <c r="D663" s="4" t="n"/>
      <c r="E663" s="4" t="n"/>
      <c r="F663" s="4" t="n"/>
      <c r="G663" s="4" t="n"/>
    </row>
    <row r="664" ht="15.75" customHeight="1" s="85">
      <c r="A664" s="4" t="n"/>
      <c r="B664" s="4" t="n"/>
      <c r="C664" s="4" t="n"/>
      <c r="D664" s="4" t="n"/>
      <c r="E664" s="4" t="n"/>
      <c r="F664" s="4" t="n"/>
      <c r="G664" s="4" t="n"/>
    </row>
    <row r="665" ht="15.75" customHeight="1" s="85">
      <c r="A665" s="4" t="n"/>
      <c r="B665" s="4" t="n"/>
      <c r="C665" s="4" t="n"/>
      <c r="D665" s="4" t="n"/>
      <c r="E665" s="4" t="n"/>
      <c r="F665" s="4" t="n"/>
      <c r="G665" s="4" t="n"/>
    </row>
    <row r="666" ht="15.75" customHeight="1" s="85">
      <c r="A666" s="4" t="n"/>
      <c r="B666" s="4" t="n"/>
      <c r="C666" s="4" t="n"/>
      <c r="D666" s="4" t="n"/>
      <c r="E666" s="4" t="n"/>
      <c r="F666" s="4" t="n"/>
      <c r="G666" s="4" t="n"/>
    </row>
    <row r="667" ht="15.75" customHeight="1" s="85">
      <c r="A667" s="4" t="n"/>
      <c r="B667" s="4" t="n"/>
      <c r="C667" s="4" t="n"/>
      <c r="D667" s="4" t="n"/>
      <c r="E667" s="4" t="n"/>
      <c r="F667" s="4" t="n"/>
      <c r="G667" s="4" t="n"/>
    </row>
    <row r="668" ht="15.75" customHeight="1" s="85">
      <c r="A668" s="4" t="n"/>
      <c r="B668" s="4" t="n"/>
      <c r="C668" s="4" t="n"/>
      <c r="D668" s="4" t="n"/>
      <c r="E668" s="4" t="n"/>
      <c r="F668" s="4" t="n"/>
      <c r="G668" s="4" t="n"/>
    </row>
    <row r="669" ht="15.75" customHeight="1" s="85">
      <c r="A669" s="4" t="n"/>
      <c r="B669" s="4" t="n"/>
      <c r="C669" s="4" t="n"/>
      <c r="D669" s="4" t="n"/>
      <c r="E669" s="4" t="n"/>
      <c r="F669" s="4" t="n"/>
      <c r="G669" s="4" t="n"/>
    </row>
    <row r="670" ht="15.75" customHeight="1" s="85">
      <c r="A670" s="4" t="n"/>
      <c r="B670" s="4" t="n"/>
      <c r="C670" s="4" t="n"/>
      <c r="D670" s="4" t="n"/>
      <c r="E670" s="4" t="n"/>
      <c r="F670" s="4" t="n"/>
      <c r="G670" s="4" t="n"/>
    </row>
    <row r="671" ht="15.75" customHeight="1" s="85">
      <c r="A671" s="4" t="n"/>
      <c r="B671" s="4" t="n"/>
      <c r="C671" s="4" t="n"/>
      <c r="D671" s="4" t="n"/>
      <c r="E671" s="4" t="n"/>
      <c r="F671" s="4" t="n"/>
      <c r="G671" s="4" t="n"/>
    </row>
    <row r="672" ht="15.75" customHeight="1" s="85">
      <c r="A672" s="4" t="n"/>
      <c r="B672" s="4" t="n"/>
      <c r="C672" s="4" t="n"/>
      <c r="D672" s="4" t="n"/>
      <c r="E672" s="4" t="n"/>
      <c r="F672" s="4" t="n"/>
      <c r="G672" s="4" t="n"/>
    </row>
    <row r="673" ht="15.75" customHeight="1" s="85">
      <c r="A673" s="4" t="n"/>
      <c r="B673" s="4" t="n"/>
      <c r="C673" s="4" t="n"/>
      <c r="D673" s="4" t="n"/>
      <c r="E673" s="4" t="n"/>
      <c r="F673" s="4" t="n"/>
      <c r="G673" s="4" t="n"/>
    </row>
    <row r="674" ht="15.75" customHeight="1" s="85">
      <c r="A674" s="4" t="n"/>
      <c r="B674" s="4" t="n"/>
      <c r="C674" s="4" t="n"/>
      <c r="D674" s="4" t="n"/>
      <c r="E674" s="4" t="n"/>
      <c r="F674" s="4" t="n"/>
      <c r="G674" s="4" t="n"/>
    </row>
    <row r="675" ht="15.75" customHeight="1" s="85">
      <c r="A675" s="4" t="n"/>
      <c r="B675" s="4" t="n"/>
      <c r="C675" s="4" t="n"/>
      <c r="D675" s="4" t="n"/>
      <c r="E675" s="4" t="n"/>
      <c r="F675" s="4" t="n"/>
      <c r="G675" s="4" t="n"/>
    </row>
    <row r="676" ht="15.75" customHeight="1" s="85">
      <c r="A676" s="4" t="n"/>
      <c r="B676" s="4" t="n"/>
      <c r="C676" s="4" t="n"/>
      <c r="D676" s="4" t="n"/>
      <c r="E676" s="4" t="n"/>
      <c r="F676" s="4" t="n"/>
      <c r="G676" s="4" t="n"/>
    </row>
    <row r="677" ht="15.75" customHeight="1" s="85">
      <c r="A677" s="4" t="n"/>
      <c r="B677" s="4" t="n"/>
      <c r="C677" s="4" t="n"/>
      <c r="D677" s="4" t="n"/>
      <c r="E677" s="4" t="n"/>
      <c r="F677" s="4" t="n"/>
      <c r="G677" s="4" t="n"/>
    </row>
    <row r="678" ht="15.75" customHeight="1" s="85">
      <c r="A678" s="4" t="n"/>
      <c r="B678" s="4" t="n"/>
      <c r="C678" s="4" t="n"/>
      <c r="D678" s="4" t="n"/>
      <c r="E678" s="4" t="n"/>
      <c r="F678" s="4" t="n"/>
      <c r="G678" s="4" t="n"/>
    </row>
    <row r="679" ht="15.75" customHeight="1" s="85">
      <c r="A679" s="4" t="n"/>
      <c r="B679" s="4" t="n"/>
      <c r="C679" s="4" t="n"/>
      <c r="D679" s="4" t="n"/>
      <c r="E679" s="4" t="n"/>
      <c r="F679" s="4" t="n"/>
      <c r="G679" s="4" t="n"/>
    </row>
    <row r="680" ht="15.75" customHeight="1" s="85">
      <c r="A680" s="4" t="n"/>
      <c r="B680" s="4" t="n"/>
      <c r="C680" s="4" t="n"/>
      <c r="D680" s="4" t="n"/>
      <c r="E680" s="4" t="n"/>
      <c r="F680" s="4" t="n"/>
      <c r="G680" s="4" t="n"/>
    </row>
    <row r="681" ht="15.75" customHeight="1" s="85">
      <c r="A681" s="4" t="n"/>
      <c r="B681" s="4" t="n"/>
      <c r="C681" s="4" t="n"/>
      <c r="D681" s="4" t="n"/>
      <c r="E681" s="4" t="n"/>
      <c r="F681" s="4" t="n"/>
      <c r="G681" s="4" t="n"/>
    </row>
    <row r="682" ht="15.75" customHeight="1" s="85">
      <c r="A682" s="4" t="n"/>
      <c r="B682" s="4" t="n"/>
      <c r="C682" s="4" t="n"/>
      <c r="D682" s="4" t="n"/>
      <c r="E682" s="4" t="n"/>
      <c r="F682" s="4" t="n"/>
      <c r="G682" s="4" t="n"/>
    </row>
    <row r="683" ht="15.75" customHeight="1" s="85">
      <c r="A683" s="4" t="n"/>
      <c r="B683" s="4" t="n"/>
      <c r="C683" s="4" t="n"/>
      <c r="D683" s="4" t="n"/>
      <c r="E683" s="4" t="n"/>
      <c r="F683" s="4" t="n"/>
      <c r="G683" s="4" t="n"/>
    </row>
    <row r="684" ht="15.75" customHeight="1" s="85">
      <c r="A684" s="4" t="n"/>
      <c r="B684" s="4" t="n"/>
      <c r="C684" s="4" t="n"/>
      <c r="D684" s="4" t="n"/>
      <c r="E684" s="4" t="n"/>
      <c r="F684" s="4" t="n"/>
      <c r="G684" s="4" t="n"/>
    </row>
    <row r="685" ht="15.75" customHeight="1" s="85">
      <c r="A685" s="4" t="n"/>
      <c r="B685" s="4" t="n"/>
      <c r="C685" s="4" t="n"/>
      <c r="D685" s="4" t="n"/>
      <c r="E685" s="4" t="n"/>
      <c r="F685" s="4" t="n"/>
      <c r="G685" s="4" t="n"/>
    </row>
    <row r="686" ht="15.75" customHeight="1" s="85">
      <c r="A686" s="4" t="n"/>
      <c r="B686" s="4" t="n"/>
      <c r="C686" s="4" t="n"/>
      <c r="D686" s="4" t="n"/>
      <c r="E686" s="4" t="n"/>
      <c r="F686" s="4" t="n"/>
      <c r="G686" s="4" t="n"/>
    </row>
    <row r="687" ht="15.75" customHeight="1" s="85">
      <c r="A687" s="4" t="n"/>
      <c r="B687" s="4" t="n"/>
      <c r="C687" s="4" t="n"/>
      <c r="D687" s="4" t="n"/>
      <c r="E687" s="4" t="n"/>
      <c r="F687" s="4" t="n"/>
      <c r="G687" s="4" t="n"/>
    </row>
    <row r="688" ht="15.75" customHeight="1" s="85">
      <c r="A688" s="4" t="n"/>
      <c r="B688" s="4" t="n"/>
      <c r="C688" s="4" t="n"/>
      <c r="D688" s="4" t="n"/>
      <c r="E688" s="4" t="n"/>
      <c r="F688" s="4" t="n"/>
      <c r="G688" s="4" t="n"/>
    </row>
    <row r="689" ht="15.75" customHeight="1" s="85">
      <c r="A689" s="4" t="n"/>
      <c r="B689" s="4" t="n"/>
      <c r="C689" s="4" t="n"/>
      <c r="D689" s="4" t="n"/>
      <c r="E689" s="4" t="n"/>
      <c r="F689" s="4" t="n"/>
      <c r="G689" s="4" t="n"/>
    </row>
    <row r="690" ht="15.75" customHeight="1" s="85">
      <c r="A690" s="4" t="n"/>
      <c r="B690" s="4" t="n"/>
      <c r="C690" s="4" t="n"/>
      <c r="D690" s="4" t="n"/>
      <c r="E690" s="4" t="n"/>
      <c r="F690" s="4" t="n"/>
      <c r="G690" s="4" t="n"/>
    </row>
    <row r="691" ht="15.75" customHeight="1" s="85">
      <c r="A691" s="4" t="n"/>
      <c r="B691" s="4" t="n"/>
      <c r="C691" s="4" t="n"/>
      <c r="D691" s="4" t="n"/>
      <c r="E691" s="4" t="n"/>
      <c r="F691" s="4" t="n"/>
      <c r="G691" s="4" t="n"/>
    </row>
    <row r="692" ht="15.75" customHeight="1" s="85">
      <c r="A692" s="4" t="n"/>
      <c r="B692" s="4" t="n"/>
      <c r="C692" s="4" t="n"/>
      <c r="D692" s="4" t="n"/>
      <c r="E692" s="4" t="n"/>
      <c r="F692" s="4" t="n"/>
      <c r="G692" s="4" t="n"/>
    </row>
    <row r="693" ht="15.75" customHeight="1" s="85">
      <c r="A693" s="4" t="n"/>
      <c r="B693" s="4" t="n"/>
      <c r="C693" s="4" t="n"/>
      <c r="D693" s="4" t="n"/>
      <c r="E693" s="4" t="n"/>
      <c r="F693" s="4" t="n"/>
      <c r="G693" s="4" t="n"/>
    </row>
    <row r="694" ht="15.75" customHeight="1" s="85">
      <c r="A694" s="4" t="n"/>
      <c r="B694" s="4" t="n"/>
      <c r="C694" s="4" t="n"/>
      <c r="D694" s="4" t="n"/>
      <c r="E694" s="4" t="n"/>
      <c r="F694" s="4" t="n"/>
      <c r="G694" s="4" t="n"/>
    </row>
    <row r="695" ht="15.75" customHeight="1" s="85">
      <c r="A695" s="4" t="n"/>
      <c r="B695" s="4" t="n"/>
      <c r="C695" s="4" t="n"/>
      <c r="D695" s="4" t="n"/>
      <c r="E695" s="4" t="n"/>
      <c r="F695" s="4" t="n"/>
      <c r="G695" s="4" t="n"/>
    </row>
    <row r="696" ht="15.75" customHeight="1" s="85">
      <c r="A696" s="4" t="n"/>
      <c r="B696" s="4" t="n"/>
      <c r="C696" s="4" t="n"/>
      <c r="D696" s="4" t="n"/>
      <c r="E696" s="4" t="n"/>
      <c r="F696" s="4" t="n"/>
      <c r="G696" s="4" t="n"/>
    </row>
    <row r="697" ht="15.75" customHeight="1" s="85">
      <c r="A697" s="4" t="n"/>
      <c r="B697" s="4" t="n"/>
      <c r="C697" s="4" t="n"/>
      <c r="D697" s="4" t="n"/>
      <c r="E697" s="4" t="n"/>
      <c r="F697" s="4" t="n"/>
      <c r="G697" s="4" t="n"/>
    </row>
    <row r="698" ht="15.75" customHeight="1" s="85">
      <c r="A698" s="4" t="n"/>
      <c r="B698" s="4" t="n"/>
      <c r="C698" s="4" t="n"/>
      <c r="D698" s="4" t="n"/>
      <c r="E698" s="4" t="n"/>
      <c r="F698" s="4" t="n"/>
      <c r="G698" s="4" t="n"/>
    </row>
    <row r="699" ht="15.75" customHeight="1" s="85">
      <c r="A699" s="4" t="n"/>
      <c r="B699" s="4" t="n"/>
      <c r="C699" s="4" t="n"/>
      <c r="D699" s="4" t="n"/>
      <c r="E699" s="4" t="n"/>
      <c r="F699" s="4" t="n"/>
      <c r="G699" s="4" t="n"/>
    </row>
    <row r="700" ht="15.75" customHeight="1" s="85">
      <c r="A700" s="4" t="n"/>
      <c r="B700" s="4" t="n"/>
      <c r="C700" s="4" t="n"/>
      <c r="D700" s="4" t="n"/>
      <c r="E700" s="4" t="n"/>
      <c r="F700" s="4" t="n"/>
      <c r="G700" s="4" t="n"/>
    </row>
    <row r="701" ht="15.75" customHeight="1" s="85">
      <c r="A701" s="4" t="n"/>
      <c r="B701" s="4" t="n"/>
      <c r="C701" s="4" t="n"/>
      <c r="D701" s="4" t="n"/>
      <c r="E701" s="4" t="n"/>
      <c r="F701" s="4" t="n"/>
      <c r="G701" s="4" t="n"/>
    </row>
    <row r="702" ht="15.75" customHeight="1" s="85">
      <c r="A702" s="4" t="n"/>
      <c r="B702" s="4" t="n"/>
      <c r="C702" s="4" t="n"/>
      <c r="D702" s="4" t="n"/>
      <c r="E702" s="4" t="n"/>
      <c r="F702" s="4" t="n"/>
      <c r="G702" s="4" t="n"/>
    </row>
    <row r="703" ht="15.75" customHeight="1" s="85">
      <c r="A703" s="4" t="n"/>
      <c r="B703" s="4" t="n"/>
      <c r="C703" s="4" t="n"/>
      <c r="D703" s="4" t="n"/>
      <c r="E703" s="4" t="n"/>
      <c r="F703" s="4" t="n"/>
      <c r="G703" s="4" t="n"/>
    </row>
    <row r="704" ht="15.75" customHeight="1" s="85">
      <c r="A704" s="4" t="n"/>
      <c r="B704" s="4" t="n"/>
      <c r="C704" s="4" t="n"/>
      <c r="D704" s="4" t="n"/>
      <c r="E704" s="4" t="n"/>
      <c r="F704" s="4" t="n"/>
      <c r="G704" s="4" t="n"/>
    </row>
    <row r="705" ht="15.75" customHeight="1" s="85">
      <c r="A705" s="4" t="n"/>
      <c r="B705" s="4" t="n"/>
      <c r="C705" s="4" t="n"/>
      <c r="D705" s="4" t="n"/>
      <c r="E705" s="4" t="n"/>
      <c r="F705" s="4" t="n"/>
      <c r="G705" s="4" t="n"/>
    </row>
    <row r="706" ht="15.75" customHeight="1" s="85">
      <c r="A706" s="4" t="n"/>
      <c r="B706" s="4" t="n"/>
      <c r="C706" s="4" t="n"/>
      <c r="D706" s="4" t="n"/>
      <c r="E706" s="4" t="n"/>
      <c r="F706" s="4" t="n"/>
      <c r="G706" s="4" t="n"/>
    </row>
    <row r="707" ht="15.75" customHeight="1" s="85">
      <c r="A707" s="4" t="n"/>
      <c r="B707" s="4" t="n"/>
      <c r="C707" s="4" t="n"/>
      <c r="D707" s="4" t="n"/>
      <c r="E707" s="4" t="n"/>
      <c r="F707" s="4" t="n"/>
      <c r="G707" s="4" t="n"/>
    </row>
    <row r="708" ht="15.75" customHeight="1" s="85">
      <c r="A708" s="4" t="n"/>
      <c r="B708" s="4" t="n"/>
      <c r="C708" s="4" t="n"/>
      <c r="D708" s="4" t="n"/>
      <c r="E708" s="4" t="n"/>
      <c r="F708" s="4" t="n"/>
      <c r="G708" s="4" t="n"/>
    </row>
    <row r="709" ht="15.75" customHeight="1" s="85">
      <c r="A709" s="4" t="n"/>
      <c r="B709" s="4" t="n"/>
      <c r="C709" s="4" t="n"/>
      <c r="D709" s="4" t="n"/>
      <c r="E709" s="4" t="n"/>
      <c r="F709" s="4" t="n"/>
      <c r="G709" s="4" t="n"/>
    </row>
    <row r="710" ht="15.75" customHeight="1" s="85">
      <c r="A710" s="4" t="n"/>
      <c r="B710" s="4" t="n"/>
      <c r="C710" s="4" t="n"/>
      <c r="D710" s="4" t="n"/>
      <c r="E710" s="4" t="n"/>
      <c r="F710" s="4" t="n"/>
      <c r="G710" s="4" t="n"/>
    </row>
    <row r="711" ht="15.75" customHeight="1" s="85">
      <c r="A711" s="4" t="n"/>
      <c r="B711" s="4" t="n"/>
      <c r="C711" s="4" t="n"/>
      <c r="D711" s="4" t="n"/>
      <c r="E711" s="4" t="n"/>
      <c r="F711" s="4" t="n"/>
      <c r="G711" s="4" t="n"/>
    </row>
    <row r="712" ht="15.75" customHeight="1" s="85">
      <c r="A712" s="4" t="n"/>
      <c r="B712" s="4" t="n"/>
      <c r="C712" s="4" t="n"/>
      <c r="D712" s="4" t="n"/>
      <c r="E712" s="4" t="n"/>
      <c r="F712" s="4" t="n"/>
      <c r="G712" s="4" t="n"/>
    </row>
    <row r="713" ht="15.75" customHeight="1" s="85">
      <c r="A713" s="4" t="n"/>
      <c r="B713" s="4" t="n"/>
      <c r="C713" s="4" t="n"/>
      <c r="D713" s="4" t="n"/>
      <c r="E713" s="4" t="n"/>
      <c r="F713" s="4" t="n"/>
      <c r="G713" s="4" t="n"/>
    </row>
    <row r="714" ht="15.75" customHeight="1" s="85">
      <c r="A714" s="4" t="n"/>
      <c r="B714" s="4" t="n"/>
      <c r="C714" s="4" t="n"/>
      <c r="D714" s="4" t="n"/>
      <c r="E714" s="4" t="n"/>
      <c r="F714" s="4" t="n"/>
      <c r="G714" s="4" t="n"/>
    </row>
    <row r="715" ht="15.75" customHeight="1" s="85">
      <c r="A715" s="4" t="n"/>
      <c r="B715" s="4" t="n"/>
      <c r="C715" s="4" t="n"/>
      <c r="D715" s="4" t="n"/>
      <c r="E715" s="4" t="n"/>
      <c r="F715" s="4" t="n"/>
      <c r="G715" s="4" t="n"/>
    </row>
    <row r="716" ht="15.75" customHeight="1" s="85">
      <c r="A716" s="4" t="n"/>
      <c r="B716" s="4" t="n"/>
      <c r="C716" s="4" t="n"/>
      <c r="D716" s="4" t="n"/>
      <c r="E716" s="4" t="n"/>
      <c r="F716" s="4" t="n"/>
      <c r="G716" s="4" t="n"/>
    </row>
    <row r="717" ht="15.75" customHeight="1" s="85">
      <c r="A717" s="4" t="n"/>
      <c r="B717" s="4" t="n"/>
      <c r="C717" s="4" t="n"/>
      <c r="D717" s="4" t="n"/>
      <c r="E717" s="4" t="n"/>
      <c r="F717" s="4" t="n"/>
      <c r="G717" s="4" t="n"/>
    </row>
    <row r="718" ht="15.75" customHeight="1" s="85">
      <c r="A718" s="4" t="n"/>
      <c r="B718" s="4" t="n"/>
      <c r="C718" s="4" t="n"/>
      <c r="D718" s="4" t="n"/>
      <c r="E718" s="4" t="n"/>
      <c r="F718" s="4" t="n"/>
      <c r="G718" s="4" t="n"/>
    </row>
    <row r="719" ht="15.75" customHeight="1" s="85">
      <c r="A719" s="4" t="n"/>
      <c r="B719" s="4" t="n"/>
      <c r="C719" s="4" t="n"/>
      <c r="D719" s="4" t="n"/>
      <c r="E719" s="4" t="n"/>
      <c r="F719" s="4" t="n"/>
      <c r="G719" s="4" t="n"/>
    </row>
    <row r="720" ht="15.75" customHeight="1" s="85">
      <c r="A720" s="4" t="n"/>
      <c r="B720" s="4" t="n"/>
      <c r="C720" s="4" t="n"/>
      <c r="D720" s="4" t="n"/>
      <c r="E720" s="4" t="n"/>
      <c r="F720" s="4" t="n"/>
      <c r="G720" s="4" t="n"/>
    </row>
    <row r="721" ht="15.75" customHeight="1" s="85">
      <c r="A721" s="4" t="n"/>
      <c r="B721" s="4" t="n"/>
      <c r="C721" s="4" t="n"/>
      <c r="D721" s="4" t="n"/>
      <c r="E721" s="4" t="n"/>
      <c r="F721" s="4" t="n"/>
      <c r="G721" s="4" t="n"/>
    </row>
    <row r="722" ht="15.75" customHeight="1" s="85">
      <c r="A722" s="4" t="n"/>
      <c r="B722" s="4" t="n"/>
      <c r="C722" s="4" t="n"/>
      <c r="D722" s="4" t="n"/>
      <c r="E722" s="4" t="n"/>
      <c r="F722" s="4" t="n"/>
      <c r="G722" s="4" t="n"/>
    </row>
    <row r="723" ht="15.75" customHeight="1" s="85">
      <c r="A723" s="4" t="n"/>
      <c r="B723" s="4" t="n"/>
      <c r="C723" s="4" t="n"/>
      <c r="D723" s="4" t="n"/>
      <c r="E723" s="4" t="n"/>
      <c r="F723" s="4" t="n"/>
      <c r="G723" s="4" t="n"/>
    </row>
    <row r="724" ht="15.75" customHeight="1" s="85">
      <c r="A724" s="4" t="n"/>
      <c r="B724" s="4" t="n"/>
      <c r="C724" s="4" t="n"/>
      <c r="D724" s="4" t="n"/>
      <c r="E724" s="4" t="n"/>
      <c r="F724" s="4" t="n"/>
      <c r="G724" s="4" t="n"/>
    </row>
    <row r="725" ht="15.75" customHeight="1" s="85">
      <c r="A725" s="4" t="n"/>
      <c r="B725" s="4" t="n"/>
      <c r="C725" s="4" t="n"/>
      <c r="D725" s="4" t="n"/>
      <c r="E725" s="4" t="n"/>
      <c r="F725" s="4" t="n"/>
      <c r="G725" s="4" t="n"/>
    </row>
    <row r="726" ht="15.75" customHeight="1" s="85">
      <c r="A726" s="4" t="n"/>
      <c r="B726" s="4" t="n"/>
      <c r="C726" s="4" t="n"/>
      <c r="D726" s="4" t="n"/>
      <c r="E726" s="4" t="n"/>
      <c r="F726" s="4" t="n"/>
      <c r="G726" s="4" t="n"/>
    </row>
    <row r="727" ht="15.75" customHeight="1" s="85">
      <c r="A727" s="4" t="n"/>
      <c r="B727" s="4" t="n"/>
      <c r="C727" s="4" t="n"/>
      <c r="D727" s="4" t="n"/>
      <c r="E727" s="4" t="n"/>
      <c r="F727" s="4" t="n"/>
      <c r="G727" s="4" t="n"/>
    </row>
    <row r="728" ht="15.75" customHeight="1" s="85">
      <c r="A728" s="4" t="n"/>
      <c r="B728" s="4" t="n"/>
      <c r="C728" s="4" t="n"/>
      <c r="D728" s="4" t="n"/>
      <c r="E728" s="4" t="n"/>
      <c r="F728" s="4" t="n"/>
      <c r="G728" s="4" t="n"/>
    </row>
    <row r="729" ht="15.75" customHeight="1" s="85">
      <c r="A729" s="4" t="n"/>
      <c r="B729" s="4" t="n"/>
      <c r="C729" s="4" t="n"/>
      <c r="D729" s="4" t="n"/>
      <c r="E729" s="4" t="n"/>
      <c r="F729" s="4" t="n"/>
      <c r="G729" s="4" t="n"/>
    </row>
    <row r="730" ht="15.75" customHeight="1" s="85">
      <c r="A730" s="4" t="n"/>
      <c r="B730" s="4" t="n"/>
      <c r="C730" s="4" t="n"/>
      <c r="D730" s="4" t="n"/>
      <c r="E730" s="4" t="n"/>
      <c r="F730" s="4" t="n"/>
      <c r="G730" s="4" t="n"/>
    </row>
    <row r="731" ht="15.75" customHeight="1" s="85">
      <c r="A731" s="4" t="n"/>
      <c r="B731" s="4" t="n"/>
      <c r="C731" s="4" t="n"/>
      <c r="D731" s="4" t="n"/>
      <c r="E731" s="4" t="n"/>
      <c r="F731" s="4" t="n"/>
      <c r="G731" s="4" t="n"/>
    </row>
    <row r="732" ht="15.75" customHeight="1" s="85">
      <c r="A732" s="4" t="n"/>
      <c r="B732" s="4" t="n"/>
      <c r="C732" s="4" t="n"/>
      <c r="D732" s="4" t="n"/>
      <c r="E732" s="4" t="n"/>
      <c r="F732" s="4" t="n"/>
      <c r="G732" s="4" t="n"/>
    </row>
    <row r="733" ht="15.75" customHeight="1" s="85">
      <c r="A733" s="4" t="n"/>
      <c r="B733" s="4" t="n"/>
      <c r="C733" s="4" t="n"/>
      <c r="D733" s="4" t="n"/>
      <c r="E733" s="4" t="n"/>
      <c r="F733" s="4" t="n"/>
      <c r="G733" s="4" t="n"/>
    </row>
    <row r="734" ht="15.75" customHeight="1" s="85">
      <c r="A734" s="4" t="n"/>
      <c r="B734" s="4" t="n"/>
      <c r="C734" s="4" t="n"/>
      <c r="D734" s="4" t="n"/>
      <c r="E734" s="4" t="n"/>
      <c r="F734" s="4" t="n"/>
      <c r="G734" s="4" t="n"/>
    </row>
    <row r="735" ht="15.75" customHeight="1" s="85">
      <c r="A735" s="4" t="n"/>
      <c r="B735" s="4" t="n"/>
      <c r="C735" s="4" t="n"/>
      <c r="D735" s="4" t="n"/>
      <c r="E735" s="4" t="n"/>
      <c r="F735" s="4" t="n"/>
      <c r="G735" s="4" t="n"/>
    </row>
    <row r="736" ht="15.75" customHeight="1" s="85">
      <c r="A736" s="4" t="n"/>
      <c r="B736" s="4" t="n"/>
      <c r="C736" s="4" t="n"/>
      <c r="D736" s="4" t="n"/>
      <c r="E736" s="4" t="n"/>
      <c r="F736" s="4" t="n"/>
      <c r="G736" s="4" t="n"/>
    </row>
    <row r="737" ht="15.75" customHeight="1" s="85">
      <c r="A737" s="4" t="n"/>
      <c r="B737" s="4" t="n"/>
      <c r="C737" s="4" t="n"/>
      <c r="D737" s="4" t="n"/>
      <c r="E737" s="4" t="n"/>
      <c r="F737" s="4" t="n"/>
      <c r="G737" s="4" t="n"/>
    </row>
    <row r="738" ht="15.75" customHeight="1" s="85">
      <c r="A738" s="4" t="n"/>
      <c r="B738" s="4" t="n"/>
      <c r="C738" s="4" t="n"/>
      <c r="D738" s="4" t="n"/>
      <c r="E738" s="4" t="n"/>
      <c r="F738" s="4" t="n"/>
      <c r="G738" s="4" t="n"/>
    </row>
    <row r="739" ht="15.75" customHeight="1" s="85">
      <c r="A739" s="4" t="n"/>
      <c r="B739" s="4" t="n"/>
      <c r="C739" s="4" t="n"/>
      <c r="D739" s="4" t="n"/>
      <c r="E739" s="4" t="n"/>
      <c r="F739" s="4" t="n"/>
      <c r="G739" s="4" t="n"/>
    </row>
    <row r="740" ht="15.75" customHeight="1" s="85">
      <c r="A740" s="4" t="n"/>
      <c r="B740" s="4" t="n"/>
      <c r="C740" s="4" t="n"/>
      <c r="D740" s="4" t="n"/>
      <c r="E740" s="4" t="n"/>
      <c r="F740" s="4" t="n"/>
      <c r="G740" s="4" t="n"/>
    </row>
    <row r="741" ht="15.75" customHeight="1" s="85">
      <c r="A741" s="4" t="n"/>
      <c r="B741" s="4" t="n"/>
      <c r="C741" s="4" t="n"/>
      <c r="D741" s="4" t="n"/>
      <c r="E741" s="4" t="n"/>
      <c r="F741" s="4" t="n"/>
      <c r="G741" s="4" t="n"/>
    </row>
    <row r="742" ht="15.75" customHeight="1" s="85">
      <c r="A742" s="4" t="n"/>
      <c r="B742" s="4" t="n"/>
      <c r="C742" s="4" t="n"/>
      <c r="D742" s="4" t="n"/>
      <c r="E742" s="4" t="n"/>
      <c r="F742" s="4" t="n"/>
      <c r="G742" s="4" t="n"/>
    </row>
    <row r="743" ht="15.75" customHeight="1" s="85">
      <c r="A743" s="4" t="n"/>
      <c r="B743" s="4" t="n"/>
      <c r="C743" s="4" t="n"/>
      <c r="D743" s="4" t="n"/>
      <c r="E743" s="4" t="n"/>
      <c r="F743" s="4" t="n"/>
      <c r="G743" s="4" t="n"/>
    </row>
    <row r="744" ht="15.75" customHeight="1" s="85">
      <c r="A744" s="4" t="n"/>
      <c r="B744" s="4" t="n"/>
      <c r="C744" s="4" t="n"/>
      <c r="D744" s="4" t="n"/>
      <c r="E744" s="4" t="n"/>
      <c r="F744" s="4" t="n"/>
      <c r="G744" s="4" t="n"/>
    </row>
    <row r="745" ht="15.75" customHeight="1" s="85">
      <c r="A745" s="4" t="n"/>
      <c r="B745" s="4" t="n"/>
      <c r="C745" s="4" t="n"/>
      <c r="D745" s="4" t="n"/>
      <c r="E745" s="4" t="n"/>
      <c r="F745" s="4" t="n"/>
      <c r="G745" s="4" t="n"/>
    </row>
    <row r="746" ht="15.75" customHeight="1" s="85">
      <c r="A746" s="4" t="n"/>
      <c r="B746" s="4" t="n"/>
      <c r="C746" s="4" t="n"/>
      <c r="D746" s="4" t="n"/>
      <c r="E746" s="4" t="n"/>
      <c r="F746" s="4" t="n"/>
      <c r="G746" s="4" t="n"/>
    </row>
    <row r="747" ht="15.75" customHeight="1" s="85">
      <c r="A747" s="4" t="n"/>
      <c r="B747" s="4" t="n"/>
      <c r="C747" s="4" t="n"/>
      <c r="D747" s="4" t="n"/>
      <c r="E747" s="4" t="n"/>
      <c r="F747" s="4" t="n"/>
      <c r="G747" s="4" t="n"/>
    </row>
    <row r="748" ht="15.75" customHeight="1" s="85">
      <c r="A748" s="4" t="n"/>
      <c r="B748" s="4" t="n"/>
      <c r="C748" s="4" t="n"/>
      <c r="D748" s="4" t="n"/>
      <c r="E748" s="4" t="n"/>
      <c r="F748" s="4" t="n"/>
      <c r="G748" s="4" t="n"/>
    </row>
    <row r="749" ht="15.75" customHeight="1" s="85">
      <c r="A749" s="4" t="n"/>
      <c r="B749" s="4" t="n"/>
      <c r="C749" s="4" t="n"/>
      <c r="D749" s="4" t="n"/>
      <c r="E749" s="4" t="n"/>
      <c r="F749" s="4" t="n"/>
      <c r="G749" s="4" t="n"/>
    </row>
    <row r="750" ht="15.75" customHeight="1" s="85">
      <c r="A750" s="4" t="n"/>
      <c r="B750" s="4" t="n"/>
      <c r="C750" s="4" t="n"/>
      <c r="D750" s="4" t="n"/>
      <c r="E750" s="4" t="n"/>
      <c r="F750" s="4" t="n"/>
      <c r="G750" s="4" t="n"/>
    </row>
    <row r="751" ht="15.75" customHeight="1" s="85">
      <c r="A751" s="4" t="n"/>
      <c r="B751" s="4" t="n"/>
      <c r="C751" s="4" t="n"/>
      <c r="D751" s="4" t="n"/>
      <c r="E751" s="4" t="n"/>
      <c r="F751" s="4" t="n"/>
      <c r="G751" s="4" t="n"/>
    </row>
    <row r="752" ht="15.75" customHeight="1" s="85">
      <c r="A752" s="4" t="n"/>
      <c r="B752" s="4" t="n"/>
      <c r="C752" s="4" t="n"/>
      <c r="D752" s="4" t="n"/>
      <c r="E752" s="4" t="n"/>
      <c r="F752" s="4" t="n"/>
      <c r="G752" s="4" t="n"/>
    </row>
    <row r="753" ht="15.75" customHeight="1" s="85">
      <c r="A753" s="4" t="n"/>
      <c r="B753" s="4" t="n"/>
      <c r="C753" s="4" t="n"/>
      <c r="D753" s="4" t="n"/>
      <c r="E753" s="4" t="n"/>
      <c r="F753" s="4" t="n"/>
      <c r="G753" s="4" t="n"/>
    </row>
    <row r="754" ht="15.75" customHeight="1" s="85">
      <c r="A754" s="4" t="n"/>
      <c r="B754" s="4" t="n"/>
      <c r="C754" s="4" t="n"/>
      <c r="D754" s="4" t="n"/>
      <c r="E754" s="4" t="n"/>
      <c r="F754" s="4" t="n"/>
      <c r="G754" s="4" t="n"/>
    </row>
    <row r="755" ht="15.75" customHeight="1" s="85">
      <c r="A755" s="4" t="n"/>
      <c r="B755" s="4" t="n"/>
      <c r="C755" s="4" t="n"/>
      <c r="D755" s="4" t="n"/>
      <c r="E755" s="4" t="n"/>
      <c r="F755" s="4" t="n"/>
      <c r="G755" s="4" t="n"/>
    </row>
    <row r="756" ht="15.75" customHeight="1" s="85">
      <c r="A756" s="4" t="n"/>
      <c r="B756" s="4" t="n"/>
      <c r="C756" s="4" t="n"/>
      <c r="D756" s="4" t="n"/>
      <c r="E756" s="4" t="n"/>
      <c r="F756" s="4" t="n"/>
      <c r="G756" s="4" t="n"/>
    </row>
    <row r="757" ht="15.75" customHeight="1" s="85">
      <c r="A757" s="4" t="n"/>
      <c r="B757" s="4" t="n"/>
      <c r="C757" s="4" t="n"/>
      <c r="D757" s="4" t="n"/>
      <c r="E757" s="4" t="n"/>
      <c r="F757" s="4" t="n"/>
      <c r="G757" s="4" t="n"/>
    </row>
    <row r="758" ht="15.75" customHeight="1" s="85">
      <c r="A758" s="4" t="n"/>
      <c r="B758" s="4" t="n"/>
      <c r="C758" s="4" t="n"/>
      <c r="D758" s="4" t="n"/>
      <c r="E758" s="4" t="n"/>
      <c r="F758" s="4" t="n"/>
      <c r="G758" s="4" t="n"/>
    </row>
    <row r="759" ht="15.75" customHeight="1" s="85">
      <c r="A759" s="4" t="n"/>
      <c r="B759" s="4" t="n"/>
      <c r="C759" s="4" t="n"/>
      <c r="D759" s="4" t="n"/>
      <c r="E759" s="4" t="n"/>
      <c r="F759" s="4" t="n"/>
      <c r="G759" s="4" t="n"/>
    </row>
    <row r="760" ht="15.75" customHeight="1" s="85">
      <c r="A760" s="4" t="n"/>
      <c r="B760" s="4" t="n"/>
      <c r="C760" s="4" t="n"/>
      <c r="D760" s="4" t="n"/>
      <c r="E760" s="4" t="n"/>
      <c r="F760" s="4" t="n"/>
      <c r="G760" s="4" t="n"/>
    </row>
    <row r="761" ht="15.75" customHeight="1" s="85">
      <c r="A761" s="4" t="n"/>
      <c r="B761" s="4" t="n"/>
      <c r="C761" s="4" t="n"/>
      <c r="D761" s="4" t="n"/>
      <c r="E761" s="4" t="n"/>
      <c r="F761" s="4" t="n"/>
      <c r="G761" s="4" t="n"/>
    </row>
    <row r="762" ht="15.75" customHeight="1" s="85">
      <c r="A762" s="4" t="n"/>
      <c r="B762" s="4" t="n"/>
      <c r="C762" s="4" t="n"/>
      <c r="D762" s="4" t="n"/>
      <c r="E762" s="4" t="n"/>
      <c r="F762" s="4" t="n"/>
      <c r="G762" s="4" t="n"/>
    </row>
    <row r="763" ht="15.75" customHeight="1" s="85">
      <c r="A763" s="4" t="n"/>
      <c r="B763" s="4" t="n"/>
      <c r="C763" s="4" t="n"/>
      <c r="D763" s="4" t="n"/>
      <c r="E763" s="4" t="n"/>
      <c r="F763" s="4" t="n"/>
      <c r="G763" s="4" t="n"/>
    </row>
    <row r="764" ht="15.75" customHeight="1" s="85">
      <c r="A764" s="4" t="n"/>
      <c r="B764" s="4" t="n"/>
      <c r="C764" s="4" t="n"/>
      <c r="D764" s="4" t="n"/>
      <c r="E764" s="4" t="n"/>
      <c r="F764" s="4" t="n"/>
      <c r="G764" s="4" t="n"/>
    </row>
    <row r="765" ht="15.75" customHeight="1" s="85">
      <c r="A765" s="4" t="n"/>
      <c r="B765" s="4" t="n"/>
      <c r="C765" s="4" t="n"/>
      <c r="D765" s="4" t="n"/>
      <c r="E765" s="4" t="n"/>
      <c r="F765" s="4" t="n"/>
      <c r="G765" s="4" t="n"/>
    </row>
    <row r="766" ht="15.75" customHeight="1" s="85">
      <c r="A766" s="4" t="n"/>
      <c r="B766" s="4" t="n"/>
      <c r="C766" s="4" t="n"/>
      <c r="D766" s="4" t="n"/>
      <c r="E766" s="4" t="n"/>
      <c r="F766" s="4" t="n"/>
      <c r="G766" s="4" t="n"/>
    </row>
    <row r="767" ht="15.75" customHeight="1" s="85">
      <c r="A767" s="4" t="n"/>
      <c r="B767" s="4" t="n"/>
      <c r="C767" s="4" t="n"/>
      <c r="D767" s="4" t="n"/>
      <c r="E767" s="4" t="n"/>
      <c r="F767" s="4" t="n"/>
      <c r="G767" s="4" t="n"/>
    </row>
    <row r="768" ht="15.75" customHeight="1" s="85">
      <c r="A768" s="4" t="n"/>
      <c r="B768" s="4" t="n"/>
      <c r="C768" s="4" t="n"/>
      <c r="D768" s="4" t="n"/>
      <c r="E768" s="4" t="n"/>
      <c r="F768" s="4" t="n"/>
      <c r="G768" s="4" t="n"/>
    </row>
    <row r="769" ht="15.75" customHeight="1" s="85">
      <c r="A769" s="4" t="n"/>
      <c r="B769" s="4" t="n"/>
      <c r="C769" s="4" t="n"/>
      <c r="D769" s="4" t="n"/>
      <c r="E769" s="4" t="n"/>
      <c r="F769" s="4" t="n"/>
      <c r="G769" s="4" t="n"/>
    </row>
    <row r="770" ht="15.75" customHeight="1" s="85">
      <c r="A770" s="4" t="n"/>
      <c r="B770" s="4" t="n"/>
      <c r="C770" s="4" t="n"/>
      <c r="D770" s="4" t="n"/>
      <c r="E770" s="4" t="n"/>
      <c r="F770" s="4" t="n"/>
      <c r="G770" s="4" t="n"/>
    </row>
    <row r="771" ht="15.75" customHeight="1" s="85">
      <c r="A771" s="4" t="n"/>
      <c r="B771" s="4" t="n"/>
      <c r="C771" s="4" t="n"/>
      <c r="D771" s="4" t="n"/>
      <c r="E771" s="4" t="n"/>
      <c r="F771" s="4" t="n"/>
      <c r="G771" s="4" t="n"/>
    </row>
    <row r="772" ht="15.75" customHeight="1" s="85">
      <c r="A772" s="4" t="n"/>
      <c r="B772" s="4" t="n"/>
      <c r="C772" s="4" t="n"/>
      <c r="D772" s="4" t="n"/>
      <c r="E772" s="4" t="n"/>
      <c r="F772" s="4" t="n"/>
      <c r="G772" s="4" t="n"/>
    </row>
    <row r="773" ht="15.75" customHeight="1" s="85">
      <c r="A773" s="4" t="n"/>
      <c r="B773" s="4" t="n"/>
      <c r="C773" s="4" t="n"/>
      <c r="D773" s="4" t="n"/>
      <c r="E773" s="4" t="n"/>
      <c r="F773" s="4" t="n"/>
      <c r="G773" s="4" t="n"/>
    </row>
    <row r="774" ht="15.75" customHeight="1" s="85">
      <c r="A774" s="4" t="n"/>
      <c r="B774" s="4" t="n"/>
      <c r="C774" s="4" t="n"/>
      <c r="D774" s="4" t="n"/>
      <c r="E774" s="4" t="n"/>
      <c r="F774" s="4" t="n"/>
      <c r="G774" s="4" t="n"/>
    </row>
    <row r="775" ht="15.75" customHeight="1" s="85">
      <c r="A775" s="4" t="n"/>
      <c r="B775" s="4" t="n"/>
      <c r="C775" s="4" t="n"/>
      <c r="D775" s="4" t="n"/>
      <c r="E775" s="4" t="n"/>
      <c r="F775" s="4" t="n"/>
      <c r="G775" s="4" t="n"/>
    </row>
    <row r="776" ht="15.75" customHeight="1" s="85">
      <c r="A776" s="4" t="n"/>
      <c r="B776" s="4" t="n"/>
      <c r="C776" s="4" t="n"/>
      <c r="D776" s="4" t="n"/>
      <c r="E776" s="4" t="n"/>
      <c r="F776" s="4" t="n"/>
      <c r="G776" s="4" t="n"/>
    </row>
    <row r="777" ht="15.75" customHeight="1" s="85">
      <c r="A777" s="4" t="n"/>
      <c r="B777" s="4" t="n"/>
      <c r="C777" s="4" t="n"/>
      <c r="D777" s="4" t="n"/>
      <c r="E777" s="4" t="n"/>
      <c r="F777" s="4" t="n"/>
      <c r="G777" s="4" t="n"/>
    </row>
    <row r="778" ht="15.75" customHeight="1" s="85">
      <c r="A778" s="4" t="n"/>
      <c r="B778" s="4" t="n"/>
      <c r="C778" s="4" t="n"/>
      <c r="D778" s="4" t="n"/>
      <c r="E778" s="4" t="n"/>
      <c r="F778" s="4" t="n"/>
      <c r="G778" s="4" t="n"/>
    </row>
    <row r="779" ht="15.75" customHeight="1" s="85">
      <c r="A779" s="4" t="n"/>
      <c r="B779" s="4" t="n"/>
      <c r="C779" s="4" t="n"/>
      <c r="D779" s="4" t="n"/>
      <c r="E779" s="4" t="n"/>
      <c r="F779" s="4" t="n"/>
      <c r="G779" s="4" t="n"/>
    </row>
    <row r="780" ht="15.75" customHeight="1" s="85">
      <c r="A780" s="4" t="n"/>
      <c r="B780" s="4" t="n"/>
      <c r="C780" s="4" t="n"/>
      <c r="D780" s="4" t="n"/>
      <c r="E780" s="4" t="n"/>
      <c r="F780" s="4" t="n"/>
      <c r="G780" s="4" t="n"/>
    </row>
    <row r="781" ht="15.75" customHeight="1" s="85">
      <c r="A781" s="4" t="n"/>
      <c r="B781" s="4" t="n"/>
      <c r="C781" s="4" t="n"/>
      <c r="D781" s="4" t="n"/>
      <c r="E781" s="4" t="n"/>
      <c r="F781" s="4" t="n"/>
      <c r="G781" s="4" t="n"/>
    </row>
    <row r="782" ht="15.75" customHeight="1" s="85">
      <c r="A782" s="4" t="n"/>
      <c r="B782" s="4" t="n"/>
      <c r="C782" s="4" t="n"/>
      <c r="D782" s="4" t="n"/>
      <c r="E782" s="4" t="n"/>
      <c r="F782" s="4" t="n"/>
      <c r="G782" s="4" t="n"/>
    </row>
    <row r="783" ht="15.75" customHeight="1" s="85">
      <c r="A783" s="4" t="n"/>
      <c r="B783" s="4" t="n"/>
      <c r="C783" s="4" t="n"/>
      <c r="D783" s="4" t="n"/>
      <c r="E783" s="4" t="n"/>
      <c r="F783" s="4" t="n"/>
      <c r="G783" s="4" t="n"/>
    </row>
    <row r="784" ht="15.75" customHeight="1" s="85">
      <c r="A784" s="4" t="n"/>
      <c r="B784" s="4" t="n"/>
      <c r="C784" s="4" t="n"/>
      <c r="D784" s="4" t="n"/>
      <c r="E784" s="4" t="n"/>
      <c r="F784" s="4" t="n"/>
      <c r="G784" s="4" t="n"/>
    </row>
    <row r="785" ht="15.75" customHeight="1" s="85">
      <c r="A785" s="4" t="n"/>
      <c r="B785" s="4" t="n"/>
      <c r="C785" s="4" t="n"/>
      <c r="D785" s="4" t="n"/>
      <c r="E785" s="4" t="n"/>
      <c r="F785" s="4" t="n"/>
      <c r="G785" s="4" t="n"/>
    </row>
    <row r="786" ht="15.75" customHeight="1" s="85">
      <c r="A786" s="4" t="n"/>
      <c r="B786" s="4" t="n"/>
      <c r="C786" s="4" t="n"/>
      <c r="D786" s="4" t="n"/>
      <c r="E786" s="4" t="n"/>
      <c r="F786" s="4" t="n"/>
      <c r="G786" s="4" t="n"/>
    </row>
    <row r="787" ht="15.75" customHeight="1" s="85">
      <c r="A787" s="4" t="n"/>
      <c r="B787" s="4" t="n"/>
      <c r="C787" s="4" t="n"/>
      <c r="D787" s="4" t="n"/>
      <c r="E787" s="4" t="n"/>
      <c r="F787" s="4" t="n"/>
      <c r="G787" s="4" t="n"/>
    </row>
    <row r="788" ht="15.75" customHeight="1" s="85">
      <c r="A788" s="4" t="n"/>
      <c r="B788" s="4" t="n"/>
      <c r="C788" s="4" t="n"/>
      <c r="D788" s="4" t="n"/>
      <c r="E788" s="4" t="n"/>
      <c r="F788" s="4" t="n"/>
      <c r="G788" s="4" t="n"/>
    </row>
    <row r="789" ht="15.75" customHeight="1" s="85">
      <c r="A789" s="4" t="n"/>
      <c r="B789" s="4" t="n"/>
      <c r="C789" s="4" t="n"/>
      <c r="D789" s="4" t="n"/>
      <c r="E789" s="4" t="n"/>
      <c r="F789" s="4" t="n"/>
      <c r="G789" s="4" t="n"/>
    </row>
    <row r="790" ht="15.75" customHeight="1" s="85">
      <c r="A790" s="4" t="n"/>
      <c r="B790" s="4" t="n"/>
      <c r="C790" s="4" t="n"/>
      <c r="D790" s="4" t="n"/>
      <c r="E790" s="4" t="n"/>
      <c r="F790" s="4" t="n"/>
      <c r="G790" s="4" t="n"/>
    </row>
    <row r="791" ht="15.75" customHeight="1" s="85">
      <c r="A791" s="4" t="n"/>
      <c r="B791" s="4" t="n"/>
      <c r="C791" s="4" t="n"/>
      <c r="D791" s="4" t="n"/>
      <c r="E791" s="4" t="n"/>
      <c r="F791" s="4" t="n"/>
      <c r="G791" s="4" t="n"/>
    </row>
    <row r="792" ht="15.75" customHeight="1" s="85">
      <c r="A792" s="4" t="n"/>
      <c r="B792" s="4" t="n"/>
      <c r="C792" s="4" t="n"/>
      <c r="D792" s="4" t="n"/>
      <c r="E792" s="4" t="n"/>
      <c r="F792" s="4" t="n"/>
      <c r="G792" s="4" t="n"/>
    </row>
    <row r="793" ht="15.75" customHeight="1" s="85">
      <c r="A793" s="4" t="n"/>
      <c r="B793" s="4" t="n"/>
      <c r="C793" s="4" t="n"/>
      <c r="D793" s="4" t="n"/>
      <c r="E793" s="4" t="n"/>
      <c r="F793" s="4" t="n"/>
      <c r="G793" s="4" t="n"/>
    </row>
    <row r="794" ht="15.75" customHeight="1" s="85">
      <c r="A794" s="4" t="n"/>
      <c r="B794" s="4" t="n"/>
      <c r="C794" s="4" t="n"/>
      <c r="D794" s="4" t="n"/>
      <c r="E794" s="4" t="n"/>
      <c r="F794" s="4" t="n"/>
      <c r="G794" s="4" t="n"/>
    </row>
    <row r="795" ht="15.75" customHeight="1" s="85">
      <c r="A795" s="4" t="n"/>
      <c r="B795" s="4" t="n"/>
      <c r="C795" s="4" t="n"/>
      <c r="D795" s="4" t="n"/>
      <c r="E795" s="4" t="n"/>
      <c r="F795" s="4" t="n"/>
      <c r="G795" s="4" t="n"/>
    </row>
    <row r="796" ht="15.75" customHeight="1" s="85">
      <c r="A796" s="4" t="n"/>
      <c r="B796" s="4" t="n"/>
      <c r="C796" s="4" t="n"/>
      <c r="D796" s="4" t="n"/>
      <c r="E796" s="4" t="n"/>
      <c r="F796" s="4" t="n"/>
      <c r="G796" s="4" t="n"/>
    </row>
    <row r="797" ht="15.75" customHeight="1" s="85">
      <c r="A797" s="4" t="n"/>
      <c r="B797" s="4" t="n"/>
      <c r="C797" s="4" t="n"/>
      <c r="D797" s="4" t="n"/>
      <c r="E797" s="4" t="n"/>
      <c r="F797" s="4" t="n"/>
      <c r="G797" s="4" t="n"/>
    </row>
    <row r="798" ht="15.75" customHeight="1" s="85">
      <c r="A798" s="4" t="n"/>
      <c r="B798" s="4" t="n"/>
      <c r="C798" s="4" t="n"/>
      <c r="D798" s="4" t="n"/>
      <c r="E798" s="4" t="n"/>
      <c r="F798" s="4" t="n"/>
      <c r="G798" s="4" t="n"/>
    </row>
    <row r="799" ht="15.75" customHeight="1" s="85">
      <c r="A799" s="4" t="n"/>
      <c r="B799" s="4" t="n"/>
      <c r="C799" s="4" t="n"/>
      <c r="D799" s="4" t="n"/>
      <c r="E799" s="4" t="n"/>
      <c r="F799" s="4" t="n"/>
      <c r="G799" s="4" t="n"/>
    </row>
    <row r="800" ht="15.75" customHeight="1" s="85">
      <c r="A800" s="4" t="n"/>
      <c r="B800" s="4" t="n"/>
      <c r="C800" s="4" t="n"/>
      <c r="D800" s="4" t="n"/>
      <c r="E800" s="4" t="n"/>
      <c r="F800" s="4" t="n"/>
      <c r="G800" s="4" t="n"/>
    </row>
    <row r="801" ht="15.75" customHeight="1" s="85">
      <c r="A801" s="4" t="n"/>
      <c r="B801" s="4" t="n"/>
      <c r="C801" s="4" t="n"/>
      <c r="D801" s="4" t="n"/>
      <c r="E801" s="4" t="n"/>
      <c r="F801" s="4" t="n"/>
      <c r="G801" s="4" t="n"/>
    </row>
    <row r="802" ht="15.75" customHeight="1" s="85">
      <c r="A802" s="4" t="n"/>
      <c r="B802" s="4" t="n"/>
      <c r="C802" s="4" t="n"/>
      <c r="D802" s="4" t="n"/>
      <c r="E802" s="4" t="n"/>
      <c r="F802" s="4" t="n"/>
      <c r="G802" s="4" t="n"/>
    </row>
    <row r="803" ht="15.75" customHeight="1" s="85">
      <c r="A803" s="4" t="n"/>
      <c r="B803" s="4" t="n"/>
      <c r="C803" s="4" t="n"/>
      <c r="D803" s="4" t="n"/>
      <c r="E803" s="4" t="n"/>
      <c r="F803" s="4" t="n"/>
      <c r="G803" s="4" t="n"/>
    </row>
    <row r="804" ht="15.75" customHeight="1" s="85">
      <c r="A804" s="4" t="n"/>
      <c r="B804" s="4" t="n"/>
      <c r="C804" s="4" t="n"/>
      <c r="D804" s="4" t="n"/>
      <c r="E804" s="4" t="n"/>
      <c r="F804" s="4" t="n"/>
      <c r="G804" s="4" t="n"/>
    </row>
    <row r="805" ht="15.75" customHeight="1" s="85">
      <c r="A805" s="4" t="n"/>
      <c r="B805" s="4" t="n"/>
      <c r="C805" s="4" t="n"/>
      <c r="D805" s="4" t="n"/>
      <c r="E805" s="4" t="n"/>
      <c r="F805" s="4" t="n"/>
      <c r="G805" s="4" t="n"/>
    </row>
    <row r="806" ht="15.75" customHeight="1" s="85">
      <c r="A806" s="4" t="n"/>
      <c r="B806" s="4" t="n"/>
      <c r="C806" s="4" t="n"/>
      <c r="D806" s="4" t="n"/>
      <c r="E806" s="4" t="n"/>
      <c r="F806" s="4" t="n"/>
      <c r="G806" s="4" t="n"/>
    </row>
    <row r="807" ht="15.75" customHeight="1" s="85">
      <c r="A807" s="4" t="n"/>
      <c r="B807" s="4" t="n"/>
      <c r="C807" s="4" t="n"/>
      <c r="D807" s="4" t="n"/>
      <c r="E807" s="4" t="n"/>
      <c r="F807" s="4" t="n"/>
      <c r="G807" s="4" t="n"/>
    </row>
    <row r="808" ht="15.75" customHeight="1" s="85">
      <c r="A808" s="4" t="n"/>
      <c r="B808" s="4" t="n"/>
      <c r="C808" s="4" t="n"/>
      <c r="D808" s="4" t="n"/>
      <c r="E808" s="4" t="n"/>
      <c r="F808" s="4" t="n"/>
      <c r="G808" s="4" t="n"/>
    </row>
    <row r="809" ht="15.75" customHeight="1" s="85">
      <c r="A809" s="4" t="n"/>
      <c r="B809" s="4" t="n"/>
      <c r="C809" s="4" t="n"/>
      <c r="D809" s="4" t="n"/>
      <c r="E809" s="4" t="n"/>
      <c r="F809" s="4" t="n"/>
      <c r="G809" s="4" t="n"/>
    </row>
    <row r="810" ht="15.75" customHeight="1" s="85">
      <c r="A810" s="4" t="n"/>
      <c r="B810" s="4" t="n"/>
      <c r="C810" s="4" t="n"/>
      <c r="D810" s="4" t="n"/>
      <c r="E810" s="4" t="n"/>
      <c r="F810" s="4" t="n"/>
      <c r="G810" s="4" t="n"/>
    </row>
    <row r="811" ht="15.75" customHeight="1" s="85">
      <c r="A811" s="4" t="n"/>
      <c r="B811" s="4" t="n"/>
      <c r="C811" s="4" t="n"/>
      <c r="D811" s="4" t="n"/>
      <c r="E811" s="4" t="n"/>
      <c r="F811" s="4" t="n"/>
      <c r="G811" s="4" t="n"/>
    </row>
    <row r="812" ht="15.75" customHeight="1" s="85">
      <c r="A812" s="4" t="n"/>
      <c r="B812" s="4" t="n"/>
      <c r="C812" s="4" t="n"/>
      <c r="D812" s="4" t="n"/>
      <c r="E812" s="4" t="n"/>
      <c r="F812" s="4" t="n"/>
      <c r="G812" s="4" t="n"/>
    </row>
    <row r="813" ht="15.75" customHeight="1" s="85">
      <c r="A813" s="4" t="n"/>
      <c r="B813" s="4" t="n"/>
      <c r="C813" s="4" t="n"/>
      <c r="D813" s="4" t="n"/>
      <c r="E813" s="4" t="n"/>
      <c r="F813" s="4" t="n"/>
      <c r="G813" s="4" t="n"/>
    </row>
    <row r="814" ht="15.75" customHeight="1" s="85">
      <c r="A814" s="4" t="n"/>
      <c r="B814" s="4" t="n"/>
      <c r="C814" s="4" t="n"/>
      <c r="D814" s="4" t="n"/>
      <c r="E814" s="4" t="n"/>
      <c r="F814" s="4" t="n"/>
      <c r="G814" s="4" t="n"/>
    </row>
    <row r="815" ht="15.75" customHeight="1" s="85">
      <c r="A815" s="4" t="n"/>
      <c r="B815" s="4" t="n"/>
      <c r="C815" s="4" t="n"/>
      <c r="D815" s="4" t="n"/>
      <c r="E815" s="4" t="n"/>
      <c r="F815" s="4" t="n"/>
      <c r="G815" s="4" t="n"/>
    </row>
    <row r="816" ht="15.75" customHeight="1" s="85">
      <c r="A816" s="4" t="n"/>
      <c r="B816" s="4" t="n"/>
      <c r="C816" s="4" t="n"/>
      <c r="D816" s="4" t="n"/>
      <c r="E816" s="4" t="n"/>
      <c r="F816" s="4" t="n"/>
      <c r="G816" s="4" t="n"/>
    </row>
    <row r="817" ht="15.75" customHeight="1" s="85">
      <c r="A817" s="4" t="n"/>
      <c r="B817" s="4" t="n"/>
      <c r="C817" s="4" t="n"/>
      <c r="D817" s="4" t="n"/>
      <c r="E817" s="4" t="n"/>
      <c r="F817" s="4" t="n"/>
      <c r="G817" s="4" t="n"/>
    </row>
    <row r="818" ht="15.75" customHeight="1" s="85">
      <c r="A818" s="4" t="n"/>
      <c r="B818" s="4" t="n"/>
      <c r="C818" s="4" t="n"/>
      <c r="D818" s="4" t="n"/>
      <c r="E818" s="4" t="n"/>
      <c r="F818" s="4" t="n"/>
      <c r="G818" s="4" t="n"/>
    </row>
    <row r="819" ht="15.75" customHeight="1" s="85">
      <c r="A819" s="4" t="n"/>
      <c r="B819" s="4" t="n"/>
      <c r="C819" s="4" t="n"/>
      <c r="D819" s="4" t="n"/>
      <c r="E819" s="4" t="n"/>
      <c r="F819" s="4" t="n"/>
      <c r="G819" s="4" t="n"/>
    </row>
    <row r="820" ht="15.75" customHeight="1" s="85">
      <c r="A820" s="4" t="n"/>
      <c r="B820" s="4" t="n"/>
      <c r="C820" s="4" t="n"/>
      <c r="D820" s="4" t="n"/>
      <c r="E820" s="4" t="n"/>
      <c r="F820" s="4" t="n"/>
      <c r="G820" s="4" t="n"/>
    </row>
    <row r="821" ht="15.75" customHeight="1" s="85">
      <c r="A821" s="4" t="n"/>
      <c r="B821" s="4" t="n"/>
      <c r="C821" s="4" t="n"/>
      <c r="D821" s="4" t="n"/>
      <c r="E821" s="4" t="n"/>
      <c r="F821" s="4" t="n"/>
      <c r="G821" s="4" t="n"/>
    </row>
    <row r="822" ht="15.75" customHeight="1" s="85">
      <c r="A822" s="4" t="n"/>
      <c r="B822" s="4" t="n"/>
      <c r="C822" s="4" t="n"/>
      <c r="D822" s="4" t="n"/>
      <c r="E822" s="4" t="n"/>
      <c r="F822" s="4" t="n"/>
      <c r="G822" s="4" t="n"/>
    </row>
    <row r="823" ht="15.75" customHeight="1" s="85">
      <c r="A823" s="4" t="n"/>
      <c r="B823" s="4" t="n"/>
      <c r="C823" s="4" t="n"/>
      <c r="D823" s="4" t="n"/>
      <c r="E823" s="4" t="n"/>
      <c r="F823" s="4" t="n"/>
      <c r="G823" s="4" t="n"/>
    </row>
    <row r="824" ht="15.75" customHeight="1" s="85">
      <c r="A824" s="4" t="n"/>
      <c r="B824" s="4" t="n"/>
      <c r="C824" s="4" t="n"/>
      <c r="D824" s="4" t="n"/>
      <c r="E824" s="4" t="n"/>
      <c r="F824" s="4" t="n"/>
      <c r="G824" s="4" t="n"/>
    </row>
    <row r="825" ht="15.75" customHeight="1" s="85">
      <c r="A825" s="4" t="n"/>
      <c r="B825" s="4" t="n"/>
      <c r="C825" s="4" t="n"/>
      <c r="D825" s="4" t="n"/>
      <c r="E825" s="4" t="n"/>
      <c r="F825" s="4" t="n"/>
      <c r="G825" s="4" t="n"/>
    </row>
    <row r="826" ht="15.75" customHeight="1" s="85">
      <c r="A826" s="4" t="n"/>
      <c r="B826" s="4" t="n"/>
      <c r="C826" s="4" t="n"/>
      <c r="D826" s="4" t="n"/>
      <c r="E826" s="4" t="n"/>
      <c r="F826" s="4" t="n"/>
      <c r="G826" s="4" t="n"/>
    </row>
    <row r="827" ht="15.75" customHeight="1" s="85">
      <c r="A827" s="4" t="n"/>
      <c r="B827" s="4" t="n"/>
      <c r="C827" s="4" t="n"/>
      <c r="D827" s="4" t="n"/>
      <c r="E827" s="4" t="n"/>
      <c r="F827" s="4" t="n"/>
      <c r="G827" s="4" t="n"/>
    </row>
    <row r="828" ht="15.75" customHeight="1" s="85">
      <c r="A828" s="4" t="n"/>
      <c r="B828" s="4" t="n"/>
      <c r="C828" s="4" t="n"/>
      <c r="D828" s="4" t="n"/>
      <c r="E828" s="4" t="n"/>
      <c r="F828" s="4" t="n"/>
      <c r="G828" s="4" t="n"/>
    </row>
    <row r="829" ht="15.75" customHeight="1" s="85">
      <c r="A829" s="4" t="n"/>
      <c r="B829" s="4" t="n"/>
      <c r="C829" s="4" t="n"/>
      <c r="D829" s="4" t="n"/>
      <c r="E829" s="4" t="n"/>
      <c r="F829" s="4" t="n"/>
      <c r="G829" s="4" t="n"/>
    </row>
    <row r="830" ht="15.75" customHeight="1" s="85">
      <c r="A830" s="4" t="n"/>
      <c r="B830" s="4" t="n"/>
      <c r="C830" s="4" t="n"/>
      <c r="D830" s="4" t="n"/>
      <c r="E830" s="4" t="n"/>
      <c r="F830" s="4" t="n"/>
      <c r="G830" s="4" t="n"/>
    </row>
    <row r="831" ht="15.75" customHeight="1" s="85">
      <c r="A831" s="4" t="n"/>
      <c r="B831" s="4" t="n"/>
      <c r="C831" s="4" t="n"/>
      <c r="D831" s="4" t="n"/>
      <c r="E831" s="4" t="n"/>
      <c r="F831" s="4" t="n"/>
      <c r="G831" s="4" t="n"/>
    </row>
    <row r="832" ht="15.75" customHeight="1" s="85">
      <c r="A832" s="4" t="n"/>
      <c r="B832" s="4" t="n"/>
      <c r="C832" s="4" t="n"/>
      <c r="D832" s="4" t="n"/>
      <c r="E832" s="4" t="n"/>
      <c r="F832" s="4" t="n"/>
      <c r="G832" s="4" t="n"/>
    </row>
    <row r="833" ht="15.75" customHeight="1" s="85">
      <c r="A833" s="4" t="n"/>
      <c r="B833" s="4" t="n"/>
      <c r="C833" s="4" t="n"/>
      <c r="D833" s="4" t="n"/>
      <c r="E833" s="4" t="n"/>
      <c r="F833" s="4" t="n"/>
      <c r="G833" s="4" t="n"/>
    </row>
    <row r="834" ht="15.75" customHeight="1" s="85">
      <c r="A834" s="4" t="n"/>
      <c r="B834" s="4" t="n"/>
      <c r="C834" s="4" t="n"/>
      <c r="D834" s="4" t="n"/>
      <c r="E834" s="4" t="n"/>
      <c r="F834" s="4" t="n"/>
      <c r="G834" s="4" t="n"/>
    </row>
    <row r="835" ht="15.75" customHeight="1" s="85">
      <c r="A835" s="4" t="n"/>
      <c r="B835" s="4" t="n"/>
      <c r="C835" s="4" t="n"/>
      <c r="D835" s="4" t="n"/>
      <c r="E835" s="4" t="n"/>
      <c r="F835" s="4" t="n"/>
      <c r="G835" s="4" t="n"/>
    </row>
    <row r="836" ht="15.75" customHeight="1" s="85">
      <c r="A836" s="4" t="n"/>
      <c r="B836" s="4" t="n"/>
      <c r="C836" s="4" t="n"/>
      <c r="D836" s="4" t="n"/>
      <c r="E836" s="4" t="n"/>
      <c r="F836" s="4" t="n"/>
      <c r="G836" s="4" t="n"/>
    </row>
    <row r="837" ht="15.75" customHeight="1" s="85">
      <c r="A837" s="4" t="n"/>
      <c r="B837" s="4" t="n"/>
      <c r="C837" s="4" t="n"/>
      <c r="D837" s="4" t="n"/>
      <c r="E837" s="4" t="n"/>
      <c r="F837" s="4" t="n"/>
      <c r="G837" s="4" t="n"/>
    </row>
    <row r="838" ht="15.75" customHeight="1" s="85">
      <c r="A838" s="4" t="n"/>
      <c r="B838" s="4" t="n"/>
      <c r="C838" s="4" t="n"/>
      <c r="D838" s="4" t="n"/>
      <c r="E838" s="4" t="n"/>
      <c r="F838" s="4" t="n"/>
      <c r="G838" s="4" t="n"/>
    </row>
    <row r="839" ht="15.75" customHeight="1" s="85">
      <c r="A839" s="4" t="n"/>
      <c r="B839" s="4" t="n"/>
      <c r="C839" s="4" t="n"/>
      <c r="D839" s="4" t="n"/>
      <c r="E839" s="4" t="n"/>
      <c r="F839" s="4" t="n"/>
      <c r="G839" s="4" t="n"/>
    </row>
    <row r="840" ht="15.75" customHeight="1" s="85">
      <c r="A840" s="4" t="n"/>
      <c r="B840" s="4" t="n"/>
      <c r="C840" s="4" t="n"/>
      <c r="D840" s="4" t="n"/>
      <c r="E840" s="4" t="n"/>
      <c r="F840" s="4" t="n"/>
      <c r="G840" s="4" t="n"/>
    </row>
    <row r="841" ht="15.75" customHeight="1" s="85">
      <c r="A841" s="4" t="n"/>
      <c r="B841" s="4" t="n"/>
      <c r="C841" s="4" t="n"/>
      <c r="D841" s="4" t="n"/>
      <c r="E841" s="4" t="n"/>
      <c r="F841" s="4" t="n"/>
      <c r="G841" s="4" t="n"/>
    </row>
    <row r="842" ht="15.75" customHeight="1" s="85">
      <c r="A842" s="4" t="n"/>
      <c r="B842" s="4" t="n"/>
      <c r="C842" s="4" t="n"/>
      <c r="D842" s="4" t="n"/>
      <c r="E842" s="4" t="n"/>
      <c r="F842" s="4" t="n"/>
      <c r="G842" s="4" t="n"/>
    </row>
    <row r="843" ht="15.75" customHeight="1" s="85">
      <c r="A843" s="4" t="n"/>
      <c r="B843" s="4" t="n"/>
      <c r="C843" s="4" t="n"/>
      <c r="D843" s="4" t="n"/>
      <c r="E843" s="4" t="n"/>
      <c r="F843" s="4" t="n"/>
      <c r="G843" s="4" t="n"/>
    </row>
    <row r="844" ht="15.75" customHeight="1" s="85">
      <c r="A844" s="4" t="n"/>
      <c r="B844" s="4" t="n"/>
      <c r="C844" s="4" t="n"/>
      <c r="D844" s="4" t="n"/>
      <c r="E844" s="4" t="n"/>
      <c r="F844" s="4" t="n"/>
      <c r="G844" s="4" t="n"/>
    </row>
    <row r="845" ht="15.75" customHeight="1" s="85">
      <c r="A845" s="4" t="n"/>
      <c r="B845" s="4" t="n"/>
      <c r="C845" s="4" t="n"/>
      <c r="D845" s="4" t="n"/>
      <c r="E845" s="4" t="n"/>
      <c r="F845" s="4" t="n"/>
      <c r="G845" s="4" t="n"/>
    </row>
    <row r="846" ht="15.75" customHeight="1" s="85">
      <c r="A846" s="4" t="n"/>
      <c r="B846" s="4" t="n"/>
      <c r="C846" s="4" t="n"/>
      <c r="D846" s="4" t="n"/>
      <c r="E846" s="4" t="n"/>
      <c r="F846" s="4" t="n"/>
      <c r="G846" s="4" t="n"/>
    </row>
    <row r="847" ht="15.75" customHeight="1" s="85">
      <c r="A847" s="4" t="n"/>
      <c r="B847" s="4" t="n"/>
      <c r="C847" s="4" t="n"/>
      <c r="D847" s="4" t="n"/>
      <c r="E847" s="4" t="n"/>
      <c r="F847" s="4" t="n"/>
      <c r="G847" s="4" t="n"/>
    </row>
    <row r="848" ht="15.75" customHeight="1" s="85">
      <c r="A848" s="4" t="n"/>
      <c r="B848" s="4" t="n"/>
      <c r="C848" s="4" t="n"/>
      <c r="D848" s="4" t="n"/>
      <c r="E848" s="4" t="n"/>
      <c r="F848" s="4" t="n"/>
      <c r="G848" s="4" t="n"/>
    </row>
    <row r="849" ht="15.75" customHeight="1" s="85">
      <c r="A849" s="4" t="n"/>
      <c r="B849" s="4" t="n"/>
      <c r="C849" s="4" t="n"/>
      <c r="D849" s="4" t="n"/>
      <c r="E849" s="4" t="n"/>
      <c r="F849" s="4" t="n"/>
      <c r="G849" s="4" t="n"/>
    </row>
    <row r="850" ht="15.75" customHeight="1" s="85">
      <c r="A850" s="4" t="n"/>
      <c r="B850" s="4" t="n"/>
      <c r="C850" s="4" t="n"/>
      <c r="D850" s="4" t="n"/>
      <c r="E850" s="4" t="n"/>
      <c r="F850" s="4" t="n"/>
      <c r="G850" s="4" t="n"/>
    </row>
    <row r="851" ht="15.75" customHeight="1" s="85">
      <c r="A851" s="4" t="n"/>
      <c r="B851" s="4" t="n"/>
      <c r="C851" s="4" t="n"/>
      <c r="D851" s="4" t="n"/>
      <c r="E851" s="4" t="n"/>
      <c r="F851" s="4" t="n"/>
      <c r="G851" s="4" t="n"/>
    </row>
    <row r="852" ht="15.75" customHeight="1" s="85">
      <c r="A852" s="4" t="n"/>
      <c r="B852" s="4" t="n"/>
      <c r="C852" s="4" t="n"/>
      <c r="D852" s="4" t="n"/>
      <c r="E852" s="4" t="n"/>
      <c r="F852" s="4" t="n"/>
      <c r="G852" s="4" t="n"/>
    </row>
    <row r="853" ht="15.75" customHeight="1" s="85">
      <c r="A853" s="4" t="n"/>
      <c r="B853" s="4" t="n"/>
      <c r="C853" s="4" t="n"/>
      <c r="D853" s="4" t="n"/>
      <c r="E853" s="4" t="n"/>
      <c r="F853" s="4" t="n"/>
      <c r="G853" s="4" t="n"/>
    </row>
    <row r="854" ht="15.75" customHeight="1" s="85">
      <c r="A854" s="4" t="n"/>
      <c r="B854" s="4" t="n"/>
      <c r="C854" s="4" t="n"/>
      <c r="D854" s="4" t="n"/>
      <c r="E854" s="4" t="n"/>
      <c r="F854" s="4" t="n"/>
      <c r="G854" s="4" t="n"/>
    </row>
    <row r="855" ht="15.75" customHeight="1" s="85">
      <c r="A855" s="4" t="n"/>
      <c r="B855" s="4" t="n"/>
      <c r="C855" s="4" t="n"/>
      <c r="D855" s="4" t="n"/>
      <c r="E855" s="4" t="n"/>
      <c r="F855" s="4" t="n"/>
      <c r="G855" s="4" t="n"/>
    </row>
    <row r="856" ht="15.75" customHeight="1" s="85">
      <c r="A856" s="4" t="n"/>
      <c r="B856" s="4" t="n"/>
      <c r="C856" s="4" t="n"/>
      <c r="D856" s="4" t="n"/>
      <c r="E856" s="4" t="n"/>
      <c r="F856" s="4" t="n"/>
      <c r="G856" s="4" t="n"/>
    </row>
    <row r="857" ht="15.75" customHeight="1" s="85">
      <c r="A857" s="4" t="n"/>
      <c r="B857" s="4" t="n"/>
      <c r="C857" s="4" t="n"/>
      <c r="D857" s="4" t="n"/>
      <c r="E857" s="4" t="n"/>
      <c r="F857" s="4" t="n"/>
      <c r="G857" s="4" t="n"/>
    </row>
    <row r="858" ht="15.75" customHeight="1" s="85">
      <c r="A858" s="4" t="n"/>
      <c r="B858" s="4" t="n"/>
      <c r="C858" s="4" t="n"/>
      <c r="D858" s="4" t="n"/>
      <c r="E858" s="4" t="n"/>
      <c r="F858" s="4" t="n"/>
      <c r="G858" s="4" t="n"/>
    </row>
    <row r="859" ht="15.75" customHeight="1" s="85">
      <c r="A859" s="4" t="n"/>
      <c r="B859" s="4" t="n"/>
      <c r="C859" s="4" t="n"/>
      <c r="D859" s="4" t="n"/>
      <c r="E859" s="4" t="n"/>
      <c r="F859" s="4" t="n"/>
      <c r="G859" s="4" t="n"/>
    </row>
    <row r="860" ht="15.75" customHeight="1" s="85">
      <c r="A860" s="4" t="n"/>
      <c r="B860" s="4" t="n"/>
      <c r="C860" s="4" t="n"/>
      <c r="D860" s="4" t="n"/>
      <c r="E860" s="4" t="n"/>
      <c r="F860" s="4" t="n"/>
      <c r="G860" s="4" t="n"/>
    </row>
    <row r="861" ht="15.75" customHeight="1" s="85">
      <c r="A861" s="4" t="n"/>
      <c r="B861" s="4" t="n"/>
      <c r="C861" s="4" t="n"/>
      <c r="D861" s="4" t="n"/>
      <c r="E861" s="4" t="n"/>
      <c r="F861" s="4" t="n"/>
      <c r="G861" s="4" t="n"/>
    </row>
    <row r="862" ht="15.75" customHeight="1" s="85">
      <c r="A862" s="4" t="n"/>
      <c r="B862" s="4" t="n"/>
      <c r="C862" s="4" t="n"/>
      <c r="D862" s="4" t="n"/>
      <c r="E862" s="4" t="n"/>
      <c r="F862" s="4" t="n"/>
      <c r="G862" s="4" t="n"/>
    </row>
    <row r="863" ht="15.75" customHeight="1" s="85">
      <c r="A863" s="4" t="n"/>
      <c r="B863" s="4" t="n"/>
      <c r="C863" s="4" t="n"/>
      <c r="D863" s="4" t="n"/>
      <c r="E863" s="4" t="n"/>
      <c r="F863" s="4" t="n"/>
      <c r="G863" s="4" t="n"/>
    </row>
    <row r="864" ht="15.75" customHeight="1" s="85">
      <c r="A864" s="4" t="n"/>
      <c r="B864" s="4" t="n"/>
      <c r="C864" s="4" t="n"/>
      <c r="D864" s="4" t="n"/>
      <c r="E864" s="4" t="n"/>
      <c r="F864" s="4" t="n"/>
      <c r="G864" s="4" t="n"/>
    </row>
    <row r="865" ht="15.75" customHeight="1" s="85">
      <c r="A865" s="4" t="n"/>
      <c r="B865" s="4" t="n"/>
      <c r="C865" s="4" t="n"/>
      <c r="D865" s="4" t="n"/>
      <c r="E865" s="4" t="n"/>
      <c r="F865" s="4" t="n"/>
      <c r="G865" s="4" t="n"/>
    </row>
    <row r="866" ht="15.75" customHeight="1" s="85">
      <c r="A866" s="4" t="n"/>
      <c r="B866" s="4" t="n"/>
      <c r="C866" s="4" t="n"/>
      <c r="D866" s="4" t="n"/>
      <c r="E866" s="4" t="n"/>
      <c r="F866" s="4" t="n"/>
      <c r="G866" s="4" t="n"/>
    </row>
    <row r="867" ht="15.75" customHeight="1" s="85">
      <c r="A867" s="4" t="n"/>
      <c r="B867" s="4" t="n"/>
      <c r="C867" s="4" t="n"/>
      <c r="D867" s="4" t="n"/>
      <c r="E867" s="4" t="n"/>
      <c r="F867" s="4" t="n"/>
      <c r="G867" s="4" t="n"/>
    </row>
    <row r="868" ht="15.75" customHeight="1" s="85">
      <c r="A868" s="4" t="n"/>
      <c r="B868" s="4" t="n"/>
      <c r="C868" s="4" t="n"/>
      <c r="D868" s="4" t="n"/>
      <c r="E868" s="4" t="n"/>
      <c r="F868" s="4" t="n"/>
      <c r="G868" s="4" t="n"/>
    </row>
    <row r="869" ht="15.75" customHeight="1" s="85">
      <c r="A869" s="4" t="n"/>
      <c r="B869" s="4" t="n"/>
      <c r="C869" s="4" t="n"/>
      <c r="D869" s="4" t="n"/>
      <c r="E869" s="4" t="n"/>
      <c r="F869" s="4" t="n"/>
      <c r="G869" s="4" t="n"/>
    </row>
    <row r="870" ht="15.75" customHeight="1" s="85">
      <c r="A870" s="4" t="n"/>
      <c r="B870" s="4" t="n"/>
      <c r="C870" s="4" t="n"/>
      <c r="D870" s="4" t="n"/>
      <c r="E870" s="4" t="n"/>
      <c r="F870" s="4" t="n"/>
      <c r="G870" s="4" t="n"/>
    </row>
    <row r="871" ht="15.75" customHeight="1" s="85">
      <c r="A871" s="4" t="n"/>
      <c r="B871" s="4" t="n"/>
      <c r="C871" s="4" t="n"/>
      <c r="D871" s="4" t="n"/>
      <c r="E871" s="4" t="n"/>
      <c r="F871" s="4" t="n"/>
      <c r="G871" s="4" t="n"/>
    </row>
    <row r="872" ht="15.75" customHeight="1" s="85">
      <c r="A872" s="4" t="n"/>
      <c r="B872" s="4" t="n"/>
      <c r="C872" s="4" t="n"/>
      <c r="D872" s="4" t="n"/>
      <c r="E872" s="4" t="n"/>
      <c r="F872" s="4" t="n"/>
      <c r="G872" s="4" t="n"/>
    </row>
    <row r="873" ht="15.75" customHeight="1" s="85">
      <c r="A873" s="4" t="n"/>
      <c r="B873" s="4" t="n"/>
      <c r="C873" s="4" t="n"/>
      <c r="D873" s="4" t="n"/>
      <c r="E873" s="4" t="n"/>
      <c r="F873" s="4" t="n"/>
      <c r="G873" s="4" t="n"/>
    </row>
    <row r="874" ht="15.75" customHeight="1" s="85">
      <c r="A874" s="4" t="n"/>
      <c r="B874" s="4" t="n"/>
      <c r="C874" s="4" t="n"/>
      <c r="D874" s="4" t="n"/>
      <c r="E874" s="4" t="n"/>
      <c r="F874" s="4" t="n"/>
      <c r="G874" s="4" t="n"/>
    </row>
    <row r="875" ht="15.75" customHeight="1" s="85">
      <c r="A875" s="4" t="n"/>
      <c r="B875" s="4" t="n"/>
      <c r="C875" s="4" t="n"/>
      <c r="D875" s="4" t="n"/>
      <c r="E875" s="4" t="n"/>
      <c r="F875" s="4" t="n"/>
      <c r="G875" s="4" t="n"/>
    </row>
    <row r="876" ht="15.75" customHeight="1" s="85">
      <c r="A876" s="4" t="n"/>
      <c r="B876" s="4" t="n"/>
      <c r="C876" s="4" t="n"/>
      <c r="D876" s="4" t="n"/>
      <c r="E876" s="4" t="n"/>
      <c r="F876" s="4" t="n"/>
      <c r="G876" s="4" t="n"/>
    </row>
    <row r="877" ht="15.75" customHeight="1" s="85">
      <c r="A877" s="4" t="n"/>
      <c r="B877" s="4" t="n"/>
      <c r="C877" s="4" t="n"/>
      <c r="D877" s="4" t="n"/>
      <c r="E877" s="4" t="n"/>
      <c r="F877" s="4" t="n"/>
      <c r="G877" s="4" t="n"/>
    </row>
    <row r="878" ht="15.75" customHeight="1" s="85">
      <c r="A878" s="4" t="n"/>
      <c r="B878" s="4" t="n"/>
      <c r="C878" s="4" t="n"/>
      <c r="D878" s="4" t="n"/>
      <c r="E878" s="4" t="n"/>
      <c r="F878" s="4" t="n"/>
      <c r="G878" s="4" t="n"/>
    </row>
    <row r="879" ht="15.75" customHeight="1" s="85">
      <c r="A879" s="4" t="n"/>
      <c r="B879" s="4" t="n"/>
      <c r="C879" s="4" t="n"/>
      <c r="D879" s="4" t="n"/>
      <c r="E879" s="4" t="n"/>
      <c r="F879" s="4" t="n"/>
      <c r="G879" s="4" t="n"/>
    </row>
    <row r="880" ht="15.75" customHeight="1" s="85">
      <c r="A880" s="4" t="n"/>
      <c r="B880" s="4" t="n"/>
      <c r="C880" s="4" t="n"/>
      <c r="D880" s="4" t="n"/>
      <c r="E880" s="4" t="n"/>
      <c r="F880" s="4" t="n"/>
      <c r="G880" s="4" t="n"/>
    </row>
    <row r="881" ht="15.75" customHeight="1" s="85">
      <c r="A881" s="4" t="n"/>
      <c r="B881" s="4" t="n"/>
      <c r="C881" s="4" t="n"/>
      <c r="D881" s="4" t="n"/>
      <c r="E881" s="4" t="n"/>
      <c r="F881" s="4" t="n"/>
      <c r="G881" s="4" t="n"/>
    </row>
    <row r="882" ht="15.75" customHeight="1" s="85">
      <c r="A882" s="4" t="n"/>
      <c r="B882" s="4" t="n"/>
      <c r="C882" s="4" t="n"/>
      <c r="D882" s="4" t="n"/>
      <c r="E882" s="4" t="n"/>
      <c r="F882" s="4" t="n"/>
      <c r="G882" s="4" t="n"/>
    </row>
    <row r="883" ht="15.75" customHeight="1" s="85">
      <c r="A883" s="4" t="n"/>
      <c r="B883" s="4" t="n"/>
      <c r="C883" s="4" t="n"/>
      <c r="D883" s="4" t="n"/>
      <c r="E883" s="4" t="n"/>
      <c r="F883" s="4" t="n"/>
      <c r="G883" s="4" t="n"/>
    </row>
    <row r="884" ht="15.75" customHeight="1" s="85">
      <c r="A884" s="4" t="n"/>
      <c r="B884" s="4" t="n"/>
      <c r="C884" s="4" t="n"/>
      <c r="D884" s="4" t="n"/>
      <c r="E884" s="4" t="n"/>
      <c r="F884" s="4" t="n"/>
      <c r="G884" s="4" t="n"/>
    </row>
    <row r="885" ht="15.75" customHeight="1" s="85">
      <c r="A885" s="4" t="n"/>
      <c r="B885" s="4" t="n"/>
      <c r="C885" s="4" t="n"/>
      <c r="D885" s="4" t="n"/>
      <c r="E885" s="4" t="n"/>
      <c r="F885" s="4" t="n"/>
      <c r="G885" s="4" t="n"/>
    </row>
    <row r="886" ht="15.75" customHeight="1" s="85">
      <c r="A886" s="4" t="n"/>
      <c r="B886" s="4" t="n"/>
      <c r="C886" s="4" t="n"/>
      <c r="D886" s="4" t="n"/>
      <c r="E886" s="4" t="n"/>
      <c r="F886" s="4" t="n"/>
      <c r="G886" s="4" t="n"/>
    </row>
    <row r="887" ht="15.75" customHeight="1" s="85">
      <c r="A887" s="4" t="n"/>
      <c r="B887" s="4" t="n"/>
      <c r="C887" s="4" t="n"/>
      <c r="D887" s="4" t="n"/>
      <c r="E887" s="4" t="n"/>
      <c r="F887" s="4" t="n"/>
      <c r="G887" s="4" t="n"/>
    </row>
    <row r="888" ht="15.75" customHeight="1" s="85">
      <c r="A888" s="4" t="n"/>
      <c r="B888" s="4" t="n"/>
      <c r="C888" s="4" t="n"/>
      <c r="D888" s="4" t="n"/>
      <c r="E888" s="4" t="n"/>
      <c r="F888" s="4" t="n"/>
      <c r="G888" s="4" t="n"/>
    </row>
    <row r="889" ht="15.75" customHeight="1" s="85">
      <c r="A889" s="4" t="n"/>
      <c r="B889" s="4" t="n"/>
      <c r="C889" s="4" t="n"/>
      <c r="D889" s="4" t="n"/>
      <c r="E889" s="4" t="n"/>
      <c r="F889" s="4" t="n"/>
      <c r="G889" s="4" t="n"/>
    </row>
    <row r="890" ht="15.75" customHeight="1" s="85">
      <c r="A890" s="4" t="n"/>
      <c r="B890" s="4" t="n"/>
      <c r="C890" s="4" t="n"/>
      <c r="D890" s="4" t="n"/>
      <c r="E890" s="4" t="n"/>
      <c r="F890" s="4" t="n"/>
      <c r="G890" s="4" t="n"/>
    </row>
    <row r="891" ht="15.75" customHeight="1" s="85">
      <c r="A891" s="4" t="n"/>
      <c r="B891" s="4" t="n"/>
      <c r="C891" s="4" t="n"/>
      <c r="D891" s="4" t="n"/>
      <c r="E891" s="4" t="n"/>
      <c r="F891" s="4" t="n"/>
      <c r="G891" s="4" t="n"/>
    </row>
    <row r="892" ht="15.75" customHeight="1" s="85">
      <c r="A892" s="4" t="n"/>
      <c r="B892" s="4" t="n"/>
      <c r="C892" s="4" t="n"/>
      <c r="D892" s="4" t="n"/>
      <c r="E892" s="4" t="n"/>
      <c r="F892" s="4" t="n"/>
      <c r="G892" s="4" t="n"/>
    </row>
    <row r="893" ht="15.75" customHeight="1" s="85">
      <c r="A893" s="4" t="n"/>
      <c r="B893" s="4" t="n"/>
      <c r="C893" s="4" t="n"/>
      <c r="D893" s="4" t="n"/>
      <c r="E893" s="4" t="n"/>
      <c r="F893" s="4" t="n"/>
      <c r="G893" s="4" t="n"/>
    </row>
    <row r="894" ht="15.75" customHeight="1" s="85">
      <c r="A894" s="4" t="n"/>
      <c r="B894" s="4" t="n"/>
      <c r="C894" s="4" t="n"/>
      <c r="D894" s="4" t="n"/>
      <c r="E894" s="4" t="n"/>
      <c r="F894" s="4" t="n"/>
      <c r="G894" s="4" t="n"/>
    </row>
    <row r="895" ht="15.75" customHeight="1" s="85">
      <c r="A895" s="4" t="n"/>
      <c r="B895" s="4" t="n"/>
      <c r="C895" s="4" t="n"/>
      <c r="D895" s="4" t="n"/>
      <c r="E895" s="4" t="n"/>
      <c r="F895" s="4" t="n"/>
      <c r="G895" s="4" t="n"/>
    </row>
    <row r="896" ht="15.75" customHeight="1" s="85">
      <c r="A896" s="4" t="n"/>
      <c r="B896" s="4" t="n"/>
      <c r="C896" s="4" t="n"/>
      <c r="D896" s="4" t="n"/>
      <c r="E896" s="4" t="n"/>
      <c r="F896" s="4" t="n"/>
      <c r="G896" s="4" t="n"/>
    </row>
    <row r="897" ht="15.75" customHeight="1" s="85">
      <c r="A897" s="4" t="n"/>
      <c r="B897" s="4" t="n"/>
      <c r="C897" s="4" t="n"/>
      <c r="D897" s="4" t="n"/>
      <c r="E897" s="4" t="n"/>
      <c r="F897" s="4" t="n"/>
      <c r="G897" s="4" t="n"/>
    </row>
    <row r="898" ht="15.75" customHeight="1" s="85">
      <c r="A898" s="4" t="n"/>
      <c r="B898" s="4" t="n"/>
      <c r="C898" s="4" t="n"/>
      <c r="D898" s="4" t="n"/>
      <c r="E898" s="4" t="n"/>
      <c r="F898" s="4" t="n"/>
      <c r="G898" s="4" t="n"/>
    </row>
    <row r="899" ht="15.75" customHeight="1" s="85">
      <c r="A899" s="4" t="n"/>
      <c r="B899" s="4" t="n"/>
      <c r="C899" s="4" t="n"/>
      <c r="D899" s="4" t="n"/>
      <c r="E899" s="4" t="n"/>
      <c r="F899" s="4" t="n"/>
      <c r="G899" s="4" t="n"/>
    </row>
    <row r="900" ht="15.75" customHeight="1" s="85">
      <c r="A900" s="4" t="n"/>
      <c r="B900" s="4" t="n"/>
      <c r="C900" s="4" t="n"/>
      <c r="D900" s="4" t="n"/>
      <c r="E900" s="4" t="n"/>
      <c r="F900" s="4" t="n"/>
      <c r="G900" s="4" t="n"/>
    </row>
    <row r="901" ht="15.75" customHeight="1" s="85">
      <c r="A901" s="4" t="n"/>
      <c r="B901" s="4" t="n"/>
      <c r="C901" s="4" t="n"/>
      <c r="D901" s="4" t="n"/>
      <c r="E901" s="4" t="n"/>
      <c r="F901" s="4" t="n"/>
      <c r="G901" s="4" t="n"/>
    </row>
    <row r="902" ht="15.75" customHeight="1" s="85">
      <c r="A902" s="4" t="n"/>
      <c r="B902" s="4" t="n"/>
      <c r="C902" s="4" t="n"/>
      <c r="D902" s="4" t="n"/>
      <c r="E902" s="4" t="n"/>
      <c r="F902" s="4" t="n"/>
      <c r="G902" s="4" t="n"/>
    </row>
    <row r="903" ht="15.75" customHeight="1" s="85">
      <c r="A903" s="4" t="n"/>
      <c r="B903" s="4" t="n"/>
      <c r="C903" s="4" t="n"/>
      <c r="D903" s="4" t="n"/>
      <c r="E903" s="4" t="n"/>
      <c r="F903" s="4" t="n"/>
      <c r="G903" s="4" t="n"/>
    </row>
    <row r="904" ht="15.75" customHeight="1" s="85">
      <c r="A904" s="4" t="n"/>
      <c r="B904" s="4" t="n"/>
      <c r="C904" s="4" t="n"/>
      <c r="D904" s="4" t="n"/>
      <c r="E904" s="4" t="n"/>
      <c r="F904" s="4" t="n"/>
      <c r="G904" s="4" t="n"/>
    </row>
    <row r="905" ht="15.75" customHeight="1" s="85">
      <c r="A905" s="4" t="n"/>
      <c r="B905" s="4" t="n"/>
      <c r="C905" s="4" t="n"/>
      <c r="D905" s="4" t="n"/>
      <c r="E905" s="4" t="n"/>
      <c r="F905" s="4" t="n"/>
      <c r="G905" s="4" t="n"/>
    </row>
    <row r="906" ht="15.75" customHeight="1" s="85">
      <c r="A906" s="4" t="n"/>
      <c r="B906" s="4" t="n"/>
      <c r="C906" s="4" t="n"/>
      <c r="D906" s="4" t="n"/>
      <c r="E906" s="4" t="n"/>
      <c r="F906" s="4" t="n"/>
      <c r="G906" s="4" t="n"/>
    </row>
    <row r="907" ht="15.75" customHeight="1" s="85">
      <c r="A907" s="4" t="n"/>
      <c r="B907" s="4" t="n"/>
      <c r="C907" s="4" t="n"/>
      <c r="D907" s="4" t="n"/>
      <c r="E907" s="4" t="n"/>
      <c r="F907" s="4" t="n"/>
      <c r="G907" s="4" t="n"/>
    </row>
    <row r="908" ht="15.75" customHeight="1" s="85">
      <c r="A908" s="4" t="n"/>
      <c r="B908" s="4" t="n"/>
      <c r="C908" s="4" t="n"/>
      <c r="D908" s="4" t="n"/>
      <c r="E908" s="4" t="n"/>
      <c r="F908" s="4" t="n"/>
      <c r="G908" s="4" t="n"/>
    </row>
    <row r="909" ht="15.75" customHeight="1" s="85">
      <c r="A909" s="4" t="n"/>
      <c r="B909" s="4" t="n"/>
      <c r="C909" s="4" t="n"/>
      <c r="D909" s="4" t="n"/>
      <c r="E909" s="4" t="n"/>
      <c r="F909" s="4" t="n"/>
      <c r="G909" s="4" t="n"/>
    </row>
    <row r="910" ht="15.75" customHeight="1" s="85">
      <c r="A910" s="4" t="n"/>
      <c r="B910" s="4" t="n"/>
      <c r="C910" s="4" t="n"/>
      <c r="D910" s="4" t="n"/>
      <c r="E910" s="4" t="n"/>
      <c r="F910" s="4" t="n"/>
      <c r="G910" s="4" t="n"/>
    </row>
    <row r="911" ht="15.75" customHeight="1" s="85">
      <c r="A911" s="4" t="n"/>
      <c r="B911" s="4" t="n"/>
      <c r="C911" s="4" t="n"/>
      <c r="D911" s="4" t="n"/>
      <c r="E911" s="4" t="n"/>
      <c r="F911" s="4" t="n"/>
      <c r="G911" s="4" t="n"/>
    </row>
    <row r="912" ht="15.75" customHeight="1" s="85">
      <c r="A912" s="4" t="n"/>
      <c r="B912" s="4" t="n"/>
      <c r="C912" s="4" t="n"/>
      <c r="D912" s="4" t="n"/>
      <c r="E912" s="4" t="n"/>
      <c r="F912" s="4" t="n"/>
      <c r="G912" s="4" t="n"/>
    </row>
    <row r="913" ht="15.75" customHeight="1" s="85">
      <c r="A913" s="4" t="n"/>
      <c r="B913" s="4" t="n"/>
      <c r="C913" s="4" t="n"/>
      <c r="D913" s="4" t="n"/>
      <c r="E913" s="4" t="n"/>
      <c r="F913" s="4" t="n"/>
      <c r="G913" s="4" t="n"/>
    </row>
    <row r="914" ht="15.75" customHeight="1" s="85">
      <c r="A914" s="4" t="n"/>
      <c r="B914" s="4" t="n"/>
      <c r="C914" s="4" t="n"/>
      <c r="D914" s="4" t="n"/>
      <c r="E914" s="4" t="n"/>
      <c r="F914" s="4" t="n"/>
      <c r="G914" s="4" t="n"/>
    </row>
    <row r="915" ht="15.75" customHeight="1" s="85">
      <c r="A915" s="4" t="n"/>
      <c r="B915" s="4" t="n"/>
      <c r="C915" s="4" t="n"/>
      <c r="D915" s="4" t="n"/>
      <c r="E915" s="4" t="n"/>
      <c r="F915" s="4" t="n"/>
      <c r="G915" s="4" t="n"/>
    </row>
    <row r="916" ht="15.75" customHeight="1" s="85">
      <c r="A916" s="4" t="n"/>
      <c r="B916" s="4" t="n"/>
      <c r="C916" s="4" t="n"/>
      <c r="D916" s="4" t="n"/>
      <c r="E916" s="4" t="n"/>
      <c r="F916" s="4" t="n"/>
      <c r="G916" s="4" t="n"/>
    </row>
    <row r="917" ht="15.75" customHeight="1" s="85">
      <c r="A917" s="4" t="n"/>
      <c r="B917" s="4" t="n"/>
      <c r="C917" s="4" t="n"/>
      <c r="D917" s="4" t="n"/>
      <c r="E917" s="4" t="n"/>
      <c r="F917" s="4" t="n"/>
      <c r="G917" s="4" t="n"/>
    </row>
    <row r="918" ht="15.75" customHeight="1" s="85">
      <c r="A918" s="4" t="n"/>
      <c r="B918" s="4" t="n"/>
      <c r="C918" s="4" t="n"/>
      <c r="D918" s="4" t="n"/>
      <c r="E918" s="4" t="n"/>
      <c r="F918" s="4" t="n"/>
      <c r="G918" s="4" t="n"/>
    </row>
    <row r="919" ht="15.75" customHeight="1" s="85">
      <c r="A919" s="4" t="n"/>
      <c r="B919" s="4" t="n"/>
      <c r="C919" s="4" t="n"/>
      <c r="D919" s="4" t="n"/>
      <c r="E919" s="4" t="n"/>
      <c r="F919" s="4" t="n"/>
      <c r="G919" s="4" t="n"/>
    </row>
    <row r="920" ht="15.75" customHeight="1" s="85">
      <c r="A920" s="4" t="n"/>
      <c r="B920" s="4" t="n"/>
      <c r="C920" s="4" t="n"/>
      <c r="D920" s="4" t="n"/>
      <c r="E920" s="4" t="n"/>
      <c r="F920" s="4" t="n"/>
      <c r="G920" s="4" t="n"/>
    </row>
    <row r="921" ht="15.75" customHeight="1" s="85">
      <c r="A921" s="4" t="n"/>
      <c r="B921" s="4" t="n"/>
      <c r="C921" s="4" t="n"/>
      <c r="D921" s="4" t="n"/>
      <c r="E921" s="4" t="n"/>
      <c r="F921" s="4" t="n"/>
      <c r="G921" s="4" t="n"/>
    </row>
    <row r="922" ht="15.75" customHeight="1" s="85">
      <c r="A922" s="4" t="n"/>
      <c r="B922" s="4" t="n"/>
      <c r="C922" s="4" t="n"/>
      <c r="D922" s="4" t="n"/>
      <c r="E922" s="4" t="n"/>
      <c r="F922" s="4" t="n"/>
      <c r="G922" s="4" t="n"/>
    </row>
    <row r="923" ht="15.75" customHeight="1" s="85">
      <c r="A923" s="4" t="n"/>
      <c r="B923" s="4" t="n"/>
      <c r="C923" s="4" t="n"/>
      <c r="D923" s="4" t="n"/>
      <c r="E923" s="4" t="n"/>
      <c r="F923" s="4" t="n"/>
      <c r="G923" s="4" t="n"/>
    </row>
    <row r="924" ht="15.75" customHeight="1" s="85">
      <c r="A924" s="4" t="n"/>
      <c r="B924" s="4" t="n"/>
      <c r="C924" s="4" t="n"/>
      <c r="D924" s="4" t="n"/>
      <c r="E924" s="4" t="n"/>
      <c r="F924" s="4" t="n"/>
      <c r="G924" s="4" t="n"/>
    </row>
    <row r="925" ht="15.75" customHeight="1" s="85">
      <c r="A925" s="4" t="n"/>
      <c r="B925" s="4" t="n"/>
      <c r="C925" s="4" t="n"/>
      <c r="D925" s="4" t="n"/>
      <c r="E925" s="4" t="n"/>
      <c r="F925" s="4" t="n"/>
      <c r="G925" s="4" t="n"/>
    </row>
    <row r="926" ht="15.75" customHeight="1" s="85">
      <c r="A926" s="4" t="n"/>
      <c r="B926" s="4" t="n"/>
      <c r="C926" s="4" t="n"/>
      <c r="D926" s="4" t="n"/>
      <c r="E926" s="4" t="n"/>
      <c r="F926" s="4" t="n"/>
      <c r="G926" s="4" t="n"/>
    </row>
    <row r="927" ht="15.75" customHeight="1" s="85">
      <c r="A927" s="4" t="n"/>
      <c r="B927" s="4" t="n"/>
      <c r="C927" s="4" t="n"/>
      <c r="D927" s="4" t="n"/>
      <c r="E927" s="4" t="n"/>
      <c r="F927" s="4" t="n"/>
      <c r="G927" s="4" t="n"/>
    </row>
    <row r="928" ht="15.75" customHeight="1" s="85">
      <c r="A928" s="4" t="n"/>
      <c r="B928" s="4" t="n"/>
      <c r="C928" s="4" t="n"/>
      <c r="D928" s="4" t="n"/>
      <c r="E928" s="4" t="n"/>
      <c r="F928" s="4" t="n"/>
      <c r="G928" s="4" t="n"/>
    </row>
    <row r="929" ht="15.75" customHeight="1" s="85">
      <c r="A929" s="4" t="n"/>
      <c r="B929" s="4" t="n"/>
      <c r="C929" s="4" t="n"/>
      <c r="D929" s="4" t="n"/>
      <c r="E929" s="4" t="n"/>
      <c r="F929" s="4" t="n"/>
      <c r="G929" s="4" t="n"/>
    </row>
    <row r="930" ht="15.75" customHeight="1" s="85">
      <c r="A930" s="4" t="n"/>
      <c r="B930" s="4" t="n"/>
      <c r="C930" s="4" t="n"/>
      <c r="D930" s="4" t="n"/>
      <c r="E930" s="4" t="n"/>
      <c r="F930" s="4" t="n"/>
      <c r="G930" s="4" t="n"/>
    </row>
    <row r="931" ht="15.75" customHeight="1" s="85">
      <c r="A931" s="4" t="n"/>
      <c r="B931" s="4" t="n"/>
      <c r="C931" s="4" t="n"/>
      <c r="D931" s="4" t="n"/>
      <c r="E931" s="4" t="n"/>
      <c r="F931" s="4" t="n"/>
      <c r="G931" s="4" t="n"/>
    </row>
    <row r="932" ht="15.75" customHeight="1" s="85">
      <c r="A932" s="4" t="n"/>
      <c r="B932" s="4" t="n"/>
      <c r="C932" s="4" t="n"/>
      <c r="D932" s="4" t="n"/>
      <c r="E932" s="4" t="n"/>
      <c r="F932" s="4" t="n"/>
      <c r="G932" s="4" t="n"/>
    </row>
    <row r="933" ht="15.75" customHeight="1" s="85">
      <c r="A933" s="4" t="n"/>
      <c r="B933" s="4" t="n"/>
      <c r="C933" s="4" t="n"/>
      <c r="D933" s="4" t="n"/>
      <c r="E933" s="4" t="n"/>
      <c r="F933" s="4" t="n"/>
      <c r="G933" s="4" t="n"/>
    </row>
    <row r="934" ht="15.75" customHeight="1" s="85">
      <c r="A934" s="4" t="n"/>
      <c r="B934" s="4" t="n"/>
      <c r="C934" s="4" t="n"/>
      <c r="D934" s="4" t="n"/>
      <c r="E934" s="4" t="n"/>
      <c r="F934" s="4" t="n"/>
      <c r="G934" s="4" t="n"/>
    </row>
    <row r="935" ht="15.75" customHeight="1" s="85">
      <c r="A935" s="4" t="n"/>
      <c r="B935" s="4" t="n"/>
      <c r="C935" s="4" t="n"/>
      <c r="D935" s="4" t="n"/>
      <c r="E935" s="4" t="n"/>
      <c r="F935" s="4" t="n"/>
      <c r="G935" s="4" t="n"/>
    </row>
    <row r="936" ht="15.75" customHeight="1" s="85">
      <c r="A936" s="4" t="n"/>
      <c r="B936" s="4" t="n"/>
      <c r="C936" s="4" t="n"/>
      <c r="D936" s="4" t="n"/>
      <c r="E936" s="4" t="n"/>
      <c r="F936" s="4" t="n"/>
      <c r="G936" s="4" t="n"/>
    </row>
    <row r="937" ht="15.75" customHeight="1" s="85">
      <c r="A937" s="4" t="n"/>
      <c r="B937" s="4" t="n"/>
      <c r="C937" s="4" t="n"/>
      <c r="D937" s="4" t="n"/>
      <c r="E937" s="4" t="n"/>
      <c r="F937" s="4" t="n"/>
      <c r="G937" s="4" t="n"/>
    </row>
    <row r="938" ht="15.75" customHeight="1" s="85">
      <c r="A938" s="4" t="n"/>
      <c r="B938" s="4" t="n"/>
      <c r="C938" s="4" t="n"/>
      <c r="D938" s="4" t="n"/>
      <c r="E938" s="4" t="n"/>
      <c r="F938" s="4" t="n"/>
      <c r="G938" s="4" t="n"/>
    </row>
    <row r="939" ht="15.75" customHeight="1" s="85">
      <c r="A939" s="4" t="n"/>
      <c r="B939" s="4" t="n"/>
      <c r="C939" s="4" t="n"/>
      <c r="D939" s="4" t="n"/>
      <c r="E939" s="4" t="n"/>
      <c r="F939" s="4" t="n"/>
      <c r="G939" s="4" t="n"/>
    </row>
    <row r="940" ht="15.75" customHeight="1" s="85">
      <c r="A940" s="4" t="n"/>
      <c r="B940" s="4" t="n"/>
      <c r="C940" s="4" t="n"/>
      <c r="D940" s="4" t="n"/>
      <c r="E940" s="4" t="n"/>
      <c r="F940" s="4" t="n"/>
      <c r="G940" s="4" t="n"/>
    </row>
    <row r="941" ht="15.75" customHeight="1" s="85">
      <c r="A941" s="4" t="n"/>
      <c r="B941" s="4" t="n"/>
      <c r="C941" s="4" t="n"/>
      <c r="D941" s="4" t="n"/>
      <c r="E941" s="4" t="n"/>
      <c r="F941" s="4" t="n"/>
      <c r="G941" s="4" t="n"/>
    </row>
    <row r="942" ht="15.75" customHeight="1" s="85">
      <c r="A942" s="4" t="n"/>
      <c r="B942" s="4" t="n"/>
      <c r="C942" s="4" t="n"/>
      <c r="D942" s="4" t="n"/>
      <c r="E942" s="4" t="n"/>
      <c r="F942" s="4" t="n"/>
      <c r="G942" s="4" t="n"/>
    </row>
    <row r="943" ht="15.75" customHeight="1" s="85">
      <c r="A943" s="4" t="n"/>
      <c r="B943" s="4" t="n"/>
      <c r="C943" s="4" t="n"/>
      <c r="D943" s="4" t="n"/>
      <c r="E943" s="4" t="n"/>
      <c r="F943" s="4" t="n"/>
      <c r="G943" s="4" t="n"/>
    </row>
    <row r="944" ht="15.75" customHeight="1" s="85">
      <c r="A944" s="4" t="n"/>
      <c r="B944" s="4" t="n"/>
      <c r="C944" s="4" t="n"/>
      <c r="D944" s="4" t="n"/>
      <c r="E944" s="4" t="n"/>
      <c r="F944" s="4" t="n"/>
      <c r="G944" s="4" t="n"/>
    </row>
    <row r="945" ht="15.75" customHeight="1" s="85">
      <c r="A945" s="4" t="n"/>
      <c r="B945" s="4" t="n"/>
      <c r="C945" s="4" t="n"/>
      <c r="D945" s="4" t="n"/>
      <c r="E945" s="4" t="n"/>
      <c r="F945" s="4" t="n"/>
      <c r="G945" s="4" t="n"/>
    </row>
    <row r="946" ht="15.75" customHeight="1" s="85">
      <c r="A946" s="4" t="n"/>
      <c r="B946" s="4" t="n"/>
      <c r="C946" s="4" t="n"/>
      <c r="D946" s="4" t="n"/>
      <c r="E946" s="4" t="n"/>
      <c r="F946" s="4" t="n"/>
      <c r="G946" s="4" t="n"/>
    </row>
    <row r="947" ht="15.75" customHeight="1" s="85">
      <c r="A947" s="4" t="n"/>
      <c r="B947" s="4" t="n"/>
      <c r="C947" s="4" t="n"/>
      <c r="D947" s="4" t="n"/>
      <c r="E947" s="4" t="n"/>
      <c r="F947" s="4" t="n"/>
      <c r="G947" s="4" t="n"/>
    </row>
    <row r="948" ht="15.75" customHeight="1" s="85">
      <c r="A948" s="4" t="n"/>
      <c r="B948" s="4" t="n"/>
      <c r="C948" s="4" t="n"/>
      <c r="D948" s="4" t="n"/>
      <c r="E948" s="4" t="n"/>
      <c r="F948" s="4" t="n"/>
      <c r="G948" s="4" t="n"/>
    </row>
    <row r="949" ht="15.75" customHeight="1" s="85">
      <c r="A949" s="4" t="n"/>
      <c r="B949" s="4" t="n"/>
      <c r="C949" s="4" t="n"/>
      <c r="D949" s="4" t="n"/>
      <c r="E949" s="4" t="n"/>
      <c r="F949" s="4" t="n"/>
      <c r="G949" s="4" t="n"/>
    </row>
    <row r="950" ht="15.75" customHeight="1" s="85">
      <c r="A950" s="4" t="n"/>
      <c r="B950" s="4" t="n"/>
      <c r="C950" s="4" t="n"/>
      <c r="D950" s="4" t="n"/>
      <c r="E950" s="4" t="n"/>
      <c r="F950" s="4" t="n"/>
      <c r="G950" s="4" t="n"/>
    </row>
    <row r="951" ht="15.75" customHeight="1" s="85">
      <c r="A951" s="4" t="n"/>
      <c r="B951" s="4" t="n"/>
      <c r="C951" s="4" t="n"/>
      <c r="D951" s="4" t="n"/>
      <c r="E951" s="4" t="n"/>
      <c r="F951" s="4" t="n"/>
      <c r="G951" s="4" t="n"/>
    </row>
    <row r="952" ht="15.75" customHeight="1" s="85">
      <c r="A952" s="4" t="n"/>
      <c r="B952" s="4" t="n"/>
      <c r="C952" s="4" t="n"/>
      <c r="D952" s="4" t="n"/>
      <c r="E952" s="4" t="n"/>
      <c r="F952" s="4" t="n"/>
      <c r="G952" s="4" t="n"/>
    </row>
    <row r="953" ht="15.75" customHeight="1" s="85">
      <c r="A953" s="4" t="n"/>
      <c r="B953" s="4" t="n"/>
      <c r="C953" s="4" t="n"/>
      <c r="D953" s="4" t="n"/>
      <c r="E953" s="4" t="n"/>
      <c r="F953" s="4" t="n"/>
      <c r="G953" s="4" t="n"/>
    </row>
    <row r="954" ht="15.75" customHeight="1" s="85">
      <c r="A954" s="4" t="n"/>
      <c r="B954" s="4" t="n"/>
      <c r="C954" s="4" t="n"/>
      <c r="D954" s="4" t="n"/>
      <c r="E954" s="4" t="n"/>
      <c r="F954" s="4" t="n"/>
      <c r="G954" s="4" t="n"/>
    </row>
    <row r="955" ht="15.75" customHeight="1" s="85">
      <c r="A955" s="4" t="n"/>
      <c r="B955" s="4" t="n"/>
      <c r="C955" s="4" t="n"/>
      <c r="D955" s="4" t="n"/>
      <c r="E955" s="4" t="n"/>
      <c r="F955" s="4" t="n"/>
      <c r="G955" s="4" t="n"/>
    </row>
    <row r="956" ht="15.75" customHeight="1" s="85">
      <c r="A956" s="4" t="n"/>
      <c r="B956" s="4" t="n"/>
      <c r="C956" s="4" t="n"/>
      <c r="D956" s="4" t="n"/>
      <c r="E956" s="4" t="n"/>
      <c r="F956" s="4" t="n"/>
      <c r="G956" s="4" t="n"/>
    </row>
    <row r="957" ht="15.75" customHeight="1" s="85">
      <c r="A957" s="4" t="n"/>
      <c r="B957" s="4" t="n"/>
      <c r="C957" s="4" t="n"/>
      <c r="D957" s="4" t="n"/>
      <c r="E957" s="4" t="n"/>
      <c r="F957" s="4" t="n"/>
      <c r="G957" s="4" t="n"/>
    </row>
    <row r="958" ht="15.75" customHeight="1" s="85">
      <c r="A958" s="4" t="n"/>
      <c r="B958" s="4" t="n"/>
      <c r="C958" s="4" t="n"/>
      <c r="D958" s="4" t="n"/>
      <c r="E958" s="4" t="n"/>
      <c r="F958" s="4" t="n"/>
      <c r="G958" s="4" t="n"/>
    </row>
    <row r="959" ht="15.75" customHeight="1" s="85">
      <c r="A959" s="4" t="n"/>
      <c r="B959" s="4" t="n"/>
      <c r="C959" s="4" t="n"/>
      <c r="D959" s="4" t="n"/>
      <c r="E959" s="4" t="n"/>
      <c r="F959" s="4" t="n"/>
      <c r="G959" s="4" t="n"/>
    </row>
    <row r="960" ht="15.75" customHeight="1" s="85">
      <c r="A960" s="4" t="n"/>
      <c r="B960" s="4" t="n"/>
      <c r="C960" s="4" t="n"/>
      <c r="D960" s="4" t="n"/>
      <c r="E960" s="4" t="n"/>
      <c r="F960" s="4" t="n"/>
      <c r="G960" s="4" t="n"/>
    </row>
    <row r="961" ht="15.75" customHeight="1" s="85">
      <c r="A961" s="4" t="n"/>
      <c r="B961" s="4" t="n"/>
      <c r="C961" s="4" t="n"/>
      <c r="D961" s="4" t="n"/>
      <c r="E961" s="4" t="n"/>
      <c r="F961" s="4" t="n"/>
      <c r="G961" s="4" t="n"/>
    </row>
    <row r="962" ht="15.75" customHeight="1" s="85">
      <c r="A962" s="4" t="n"/>
      <c r="B962" s="4" t="n"/>
      <c r="C962" s="4" t="n"/>
      <c r="D962" s="4" t="n"/>
      <c r="E962" s="4" t="n"/>
      <c r="F962" s="4" t="n"/>
      <c r="G962" s="4" t="n"/>
    </row>
    <row r="963" ht="15.75" customHeight="1" s="85">
      <c r="A963" s="4" t="n"/>
      <c r="B963" s="4" t="n"/>
      <c r="C963" s="4" t="n"/>
      <c r="D963" s="4" t="n"/>
      <c r="E963" s="4" t="n"/>
      <c r="F963" s="4" t="n"/>
      <c r="G963" s="4" t="n"/>
    </row>
    <row r="964" ht="15.75" customHeight="1" s="85">
      <c r="A964" s="4" t="n"/>
      <c r="B964" s="4" t="n"/>
      <c r="C964" s="4" t="n"/>
      <c r="D964" s="4" t="n"/>
      <c r="E964" s="4" t="n"/>
      <c r="F964" s="4" t="n"/>
      <c r="G964" s="4" t="n"/>
    </row>
    <row r="965" ht="15.75" customHeight="1" s="85">
      <c r="A965" s="4" t="n"/>
      <c r="B965" s="4" t="n"/>
      <c r="C965" s="4" t="n"/>
      <c r="D965" s="4" t="n"/>
      <c r="E965" s="4" t="n"/>
      <c r="F965" s="4" t="n"/>
      <c r="G965" s="4" t="n"/>
    </row>
    <row r="966" ht="15.75" customHeight="1" s="85">
      <c r="A966" s="4" t="n"/>
      <c r="B966" s="4" t="n"/>
      <c r="C966" s="4" t="n"/>
      <c r="D966" s="4" t="n"/>
      <c r="E966" s="4" t="n"/>
      <c r="F966" s="4" t="n"/>
      <c r="G966" s="4" t="n"/>
    </row>
    <row r="967" ht="15.75" customHeight="1" s="85">
      <c r="A967" s="4" t="n"/>
      <c r="B967" s="4" t="n"/>
      <c r="C967" s="4" t="n"/>
      <c r="D967" s="4" t="n"/>
      <c r="E967" s="4" t="n"/>
      <c r="F967" s="4" t="n"/>
      <c r="G967" s="4" t="n"/>
    </row>
    <row r="968" ht="15.75" customHeight="1" s="85">
      <c r="A968" s="4" t="n"/>
      <c r="B968" s="4" t="n"/>
      <c r="C968" s="4" t="n"/>
      <c r="D968" s="4" t="n"/>
      <c r="E968" s="4" t="n"/>
      <c r="F968" s="4" t="n"/>
      <c r="G968" s="4" t="n"/>
    </row>
    <row r="969" ht="15.75" customHeight="1" s="85">
      <c r="A969" s="4" t="n"/>
      <c r="B969" s="4" t="n"/>
      <c r="C969" s="4" t="n"/>
      <c r="D969" s="4" t="n"/>
      <c r="E969" s="4" t="n"/>
      <c r="F969" s="4" t="n"/>
      <c r="G969" s="4" t="n"/>
    </row>
    <row r="970" ht="15.75" customHeight="1" s="85">
      <c r="A970" s="4" t="n"/>
      <c r="B970" s="4" t="n"/>
      <c r="C970" s="4" t="n"/>
      <c r="D970" s="4" t="n"/>
      <c r="E970" s="4" t="n"/>
      <c r="F970" s="4" t="n"/>
      <c r="G970" s="4" t="n"/>
    </row>
    <row r="971" ht="15.75" customHeight="1" s="85">
      <c r="A971" s="4" t="n"/>
      <c r="B971" s="4" t="n"/>
      <c r="C971" s="4" t="n"/>
      <c r="D971" s="4" t="n"/>
      <c r="E971" s="4" t="n"/>
      <c r="F971" s="4" t="n"/>
      <c r="G971" s="4" t="n"/>
    </row>
    <row r="972" ht="15.75" customHeight="1" s="85">
      <c r="A972" s="4" t="n"/>
      <c r="B972" s="4" t="n"/>
      <c r="C972" s="4" t="n"/>
      <c r="D972" s="4" t="n"/>
      <c r="E972" s="4" t="n"/>
      <c r="F972" s="4" t="n"/>
      <c r="G972" s="4" t="n"/>
    </row>
    <row r="973" ht="15.75" customHeight="1" s="85">
      <c r="A973" s="4" t="n"/>
      <c r="B973" s="4" t="n"/>
      <c r="C973" s="4" t="n"/>
      <c r="D973" s="4" t="n"/>
      <c r="E973" s="4" t="n"/>
      <c r="F973" s="4" t="n"/>
      <c r="G973" s="4" t="n"/>
    </row>
    <row r="974" ht="15.75" customHeight="1" s="85">
      <c r="A974" s="4" t="n"/>
      <c r="B974" s="4" t="n"/>
      <c r="C974" s="4" t="n"/>
      <c r="D974" s="4" t="n"/>
      <c r="E974" s="4" t="n"/>
      <c r="F974" s="4" t="n"/>
      <c r="G974" s="4" t="n"/>
    </row>
    <row r="975" ht="15.75" customHeight="1" s="85">
      <c r="A975" s="4" t="n"/>
      <c r="B975" s="4" t="n"/>
      <c r="C975" s="4" t="n"/>
      <c r="D975" s="4" t="n"/>
      <c r="E975" s="4" t="n"/>
      <c r="F975" s="4" t="n"/>
      <c r="G975" s="4" t="n"/>
    </row>
    <row r="976" ht="15.75" customHeight="1" s="85">
      <c r="A976" s="4" t="n"/>
      <c r="B976" s="4" t="n"/>
      <c r="C976" s="4" t="n"/>
      <c r="D976" s="4" t="n"/>
      <c r="E976" s="4" t="n"/>
      <c r="F976" s="4" t="n"/>
      <c r="G976" s="4" t="n"/>
    </row>
    <row r="977" ht="15.75" customHeight="1" s="85">
      <c r="A977" s="4" t="n"/>
      <c r="B977" s="4" t="n"/>
      <c r="C977" s="4" t="n"/>
      <c r="D977" s="4" t="n"/>
      <c r="E977" s="4" t="n"/>
      <c r="F977" s="4" t="n"/>
      <c r="G977" s="4" t="n"/>
    </row>
    <row r="978" ht="15.75" customHeight="1" s="85">
      <c r="A978" s="4" t="n"/>
      <c r="B978" s="4" t="n"/>
      <c r="C978" s="4" t="n"/>
      <c r="D978" s="4" t="n"/>
      <c r="E978" s="4" t="n"/>
      <c r="F978" s="4" t="n"/>
      <c r="G978" s="4" t="n"/>
    </row>
    <row r="979" ht="15.75" customHeight="1" s="85">
      <c r="A979" s="4" t="n"/>
      <c r="B979" s="4" t="n"/>
      <c r="C979" s="4" t="n"/>
      <c r="D979" s="4" t="n"/>
      <c r="E979" s="4" t="n"/>
      <c r="F979" s="4" t="n"/>
      <c r="G979" s="4" t="n"/>
    </row>
    <row r="980" ht="15.75" customHeight="1" s="85">
      <c r="A980" s="4" t="n"/>
      <c r="B980" s="4" t="n"/>
      <c r="C980" s="4" t="n"/>
      <c r="D980" s="4" t="n"/>
      <c r="E980" s="4" t="n"/>
      <c r="F980" s="4" t="n"/>
      <c r="G980" s="4" t="n"/>
    </row>
    <row r="981" ht="15.75" customHeight="1" s="85">
      <c r="A981" s="4" t="n"/>
      <c r="B981" s="4" t="n"/>
      <c r="C981" s="4" t="n"/>
      <c r="D981" s="4" t="n"/>
      <c r="E981" s="4" t="n"/>
      <c r="F981" s="4" t="n"/>
      <c r="G981" s="4" t="n"/>
    </row>
    <row r="982" ht="15.75" customHeight="1" s="85">
      <c r="A982" s="4" t="n"/>
      <c r="B982" s="4" t="n"/>
      <c r="C982" s="4" t="n"/>
      <c r="D982" s="4" t="n"/>
      <c r="E982" s="4" t="n"/>
      <c r="F982" s="4" t="n"/>
      <c r="G982" s="4" t="n"/>
    </row>
    <row r="983" ht="15.75" customHeight="1" s="85">
      <c r="A983" s="4" t="n"/>
      <c r="B983" s="4" t="n"/>
      <c r="C983" s="4" t="n"/>
      <c r="D983" s="4" t="n"/>
      <c r="E983" s="4" t="n"/>
      <c r="F983" s="4" t="n"/>
      <c r="G983" s="4" t="n"/>
    </row>
    <row r="984" ht="15.75" customHeight="1" s="85">
      <c r="A984" s="4" t="n"/>
      <c r="B984" s="4" t="n"/>
      <c r="C984" s="4" t="n"/>
      <c r="D984" s="4" t="n"/>
      <c r="E984" s="4" t="n"/>
      <c r="F984" s="4" t="n"/>
      <c r="G984" s="4" t="n"/>
    </row>
    <row r="985" ht="15.75" customHeight="1" s="85">
      <c r="A985" s="4" t="n"/>
      <c r="B985" s="4" t="n"/>
      <c r="C985" s="4" t="n"/>
      <c r="D985" s="4" t="n"/>
      <c r="E985" s="4" t="n"/>
      <c r="F985" s="4" t="n"/>
      <c r="G985" s="4" t="n"/>
    </row>
    <row r="986" ht="15.75" customHeight="1" s="85">
      <c r="A986" s="4" t="n"/>
      <c r="B986" s="4" t="n"/>
      <c r="C986" s="4" t="n"/>
      <c r="D986" s="4" t="n"/>
      <c r="E986" s="4" t="n"/>
      <c r="F986" s="4" t="n"/>
      <c r="G986" s="4" t="n"/>
    </row>
    <row r="987" ht="15.75" customHeight="1" s="85">
      <c r="A987" s="4" t="n"/>
      <c r="B987" s="4" t="n"/>
      <c r="C987" s="4" t="n"/>
      <c r="D987" s="4" t="n"/>
      <c r="E987" s="4" t="n"/>
      <c r="F987" s="4" t="n"/>
      <c r="G987" s="4" t="n"/>
    </row>
    <row r="988" ht="15.75" customHeight="1" s="85">
      <c r="A988" s="4" t="n"/>
      <c r="B988" s="4" t="n"/>
      <c r="C988" s="4" t="n"/>
      <c r="D988" s="4" t="n"/>
      <c r="E988" s="4" t="n"/>
      <c r="F988" s="4" t="n"/>
      <c r="G988" s="4" t="n"/>
    </row>
    <row r="989" ht="15.75" customHeight="1" s="85">
      <c r="A989" s="4" t="n"/>
      <c r="B989" s="4" t="n"/>
      <c r="C989" s="4" t="n"/>
      <c r="D989" s="4" t="n"/>
      <c r="E989" s="4" t="n"/>
      <c r="F989" s="4" t="n"/>
      <c r="G989" s="4" t="n"/>
    </row>
    <row r="990" ht="15.75" customHeight="1" s="85">
      <c r="A990" s="4" t="n"/>
      <c r="B990" s="4" t="n"/>
      <c r="C990" s="4" t="n"/>
      <c r="D990" s="4" t="n"/>
      <c r="E990" s="4" t="n"/>
      <c r="F990" s="4" t="n"/>
      <c r="G990" s="4" t="n"/>
    </row>
    <row r="991" ht="15.75" customHeight="1" s="85">
      <c r="A991" s="4" t="n"/>
      <c r="B991" s="4" t="n"/>
      <c r="C991" s="4" t="n"/>
      <c r="D991" s="4" t="n"/>
      <c r="E991" s="4" t="n"/>
      <c r="F991" s="4" t="n"/>
      <c r="G991" s="4" t="n"/>
    </row>
    <row r="992" ht="15.75" customHeight="1" s="85">
      <c r="A992" s="4" t="n"/>
      <c r="B992" s="4" t="n"/>
      <c r="C992" s="4" t="n"/>
      <c r="D992" s="4" t="n"/>
      <c r="E992" s="4" t="n"/>
      <c r="F992" s="4" t="n"/>
      <c r="G992" s="4" t="n"/>
    </row>
    <row r="993" ht="15.75" customHeight="1" s="85">
      <c r="A993" s="4" t="n"/>
      <c r="B993" s="4" t="n"/>
      <c r="C993" s="4" t="n"/>
      <c r="D993" s="4" t="n"/>
      <c r="E993" s="4" t="n"/>
      <c r="F993" s="4" t="n"/>
      <c r="G993" s="4" t="n"/>
    </row>
    <row r="994" ht="15.75" customHeight="1" s="85">
      <c r="A994" s="4" t="n"/>
      <c r="B994" s="4" t="n"/>
      <c r="C994" s="4" t="n"/>
      <c r="D994" s="4" t="n"/>
      <c r="E994" s="4" t="n"/>
      <c r="F994" s="4" t="n"/>
      <c r="G994" s="4" t="n"/>
    </row>
    <row r="995" ht="15.75" customHeight="1" s="85">
      <c r="A995" s="4" t="n"/>
      <c r="B995" s="4" t="n"/>
      <c r="C995" s="4" t="n"/>
      <c r="D995" s="4" t="n"/>
      <c r="E995" s="4" t="n"/>
      <c r="F995" s="4" t="n"/>
      <c r="G995" s="4" t="n"/>
    </row>
    <row r="996" ht="15.75" customHeight="1" s="85">
      <c r="A996" s="4" t="n"/>
      <c r="B996" s="4" t="n"/>
      <c r="C996" s="4" t="n"/>
      <c r="D996" s="4" t="n"/>
      <c r="E996" s="4" t="n"/>
      <c r="F996" s="4" t="n"/>
      <c r="G996" s="4" t="n"/>
    </row>
    <row r="997" ht="15.75" customHeight="1" s="85">
      <c r="A997" s="4" t="n"/>
      <c r="B997" s="4" t="n"/>
      <c r="C997" s="4" t="n"/>
      <c r="D997" s="4" t="n"/>
      <c r="E997" s="4" t="n"/>
      <c r="F997" s="4" t="n"/>
      <c r="G997" s="4" t="n"/>
    </row>
    <row r="998" ht="15.75" customHeight="1" s="85">
      <c r="A998" s="4" t="n"/>
      <c r="B998" s="4" t="n"/>
      <c r="C998" s="4" t="n"/>
      <c r="D998" s="4" t="n"/>
      <c r="E998" s="4" t="n"/>
      <c r="F998" s="4" t="n"/>
      <c r="G998" s="4" t="n"/>
    </row>
    <row r="999" ht="15.75" customHeight="1" s="85">
      <c r="A999" s="4" t="n"/>
      <c r="B999" s="4" t="n"/>
      <c r="C999" s="4" t="n"/>
      <c r="D999" s="4" t="n"/>
      <c r="E999" s="4" t="n"/>
      <c r="F999" s="4" t="n"/>
      <c r="G999" s="4" t="n"/>
    </row>
    <row r="1000" ht="15.75" customHeight="1" s="85">
      <c r="A1000" s="4" t="n"/>
      <c r="B1000" s="4" t="n"/>
      <c r="C1000" s="4" t="n"/>
      <c r="D1000" s="4" t="n"/>
      <c r="E1000" s="4" t="n"/>
      <c r="F1000" s="4" t="n"/>
      <c r="G1000" s="4" t="n"/>
    </row>
  </sheetData>
  <mergeCells count="7">
    <mergeCell ref="A14:G14"/>
    <mergeCell ref="A1:G1"/>
    <mergeCell ref="A18:G18"/>
    <mergeCell ref="A9:G9"/>
    <mergeCell ref="A3:G3"/>
    <mergeCell ref="A5:G5"/>
    <mergeCell ref="A28:G28"/>
  </mergeCell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P82"/>
  <sheetViews>
    <sheetView showGridLines="0" workbookViewId="0">
      <selection activeCell="A1" sqref="A1"/>
    </sheetView>
  </sheetViews>
  <sheetFormatPr baseColWidth="8" defaultColWidth="14.43" defaultRowHeight="15" customHeight="1"/>
  <cols>
    <col width="6" customWidth="1" style="85" min="1" max="1"/>
    <col width="10" customWidth="1" style="85" min="2" max="2"/>
    <col width="5" customWidth="1" style="85" min="3" max="3"/>
    <col width="9" customWidth="1" style="85" min="4" max="4"/>
    <col width="13" customWidth="1" style="85" min="5" max="6"/>
    <col width="14" customWidth="1" style="85" min="6" max="6"/>
    <col width="13" customWidth="1" style="85" min="7" max="8"/>
    <col width="13" customWidth="1" style="85" min="8" max="8"/>
    <col width="11" customWidth="1" style="85" min="9" max="9"/>
    <col width="12" customWidth="1" style="85" min="10" max="23"/>
    <col width="12" customWidth="1" style="85" min="11" max="11"/>
    <col width="13" customWidth="1" style="85" min="12" max="12"/>
    <col width="12" customWidth="1" style="85" min="13" max="13"/>
    <col width="12" customWidth="1" style="85" min="14" max="14"/>
    <col width="14" customWidth="1" style="85" min="15" max="15"/>
    <col width="32" customWidth="1" style="85" min="16" max="16"/>
  </cols>
  <sheetData>
    <row r="1" ht="24" customHeight="1" s="85">
      <c r="A1" s="86" t="inlineStr">
        <is>
          <t xml:space="preserve">  VetFinance  |  Monthly Cash &amp; Funding Detail — Warehouse Facility, Cash Sweep &amp; Raises</t>
        </is>
      </c>
    </row>
    <row r="2" ht="15" customHeight="1" s="85">
      <c r="A2" s="49" t="n"/>
    </row>
    <row r="3" ht="6" customHeight="1" s="85"/>
    <row r="4" ht="16.5" customHeight="1" s="85">
      <c r="A4" s="94" t="n"/>
      <c r="G4" s="95" t="n"/>
    </row>
    <row r="5" ht="33.75" customHeight="1" s="85">
      <c r="A5" s="106" t="inlineStr">
        <is>
          <t>Mo#</t>
        </is>
      </c>
      <c r="B5" s="106" t="inlineStr">
        <is>
          <t>Date</t>
        </is>
      </c>
      <c r="C5" s="106" t="inlineStr">
        <is>
          <t>Yr</t>
        </is>
      </c>
      <c r="D5" s="106" t="inlineStr">
        <is>
          <t>Active
Practices</t>
        </is>
      </c>
      <c r="E5" s="106" t="inlineStr">
        <is>
          <t>Originations
($)</t>
        </is>
      </c>
      <c r="F5" s="106" t="inlineStr">
        <is>
          <t>End Portfolio
($)</t>
        </is>
      </c>
      <c r="G5" s="106" t="inlineStr">
        <is>
          <t>Debt Balance
($)</t>
        </is>
      </c>
      <c r="H5" s="106" t="inlineStr">
        <is>
          <t>Facility Limit
($)</t>
        </is>
      </c>
      <c r="I5" s="106" t="inlineStr">
        <is>
          <t>Utilization
(%)</t>
        </is>
      </c>
      <c r="J5" s="107" t="inlineStr">
        <is>
          <t>Debt Draw /
(Repay) ($)</t>
        </is>
      </c>
      <c r="K5" s="107" t="inlineStr">
        <is>
          <t>Interest
Expense ($)</t>
        </is>
      </c>
      <c r="L5" s="107" t="inlineStr">
        <is>
          <t>Investable
Excess Cash ($)</t>
        </is>
      </c>
      <c r="M5" s="107" t="inlineStr">
        <is>
          <t>Investment
Income ($)</t>
        </is>
      </c>
      <c r="N5" s="107" t="inlineStr">
        <is>
          <t>Raise
Triggered ($)</t>
        </is>
      </c>
      <c r="O5" s="107" t="inlineStr">
        <is>
          <t>End Cash &amp;
Investments ($)</t>
        </is>
      </c>
      <c r="P5" s="107" t="inlineStr">
        <is>
          <t>Recommended Action</t>
        </is>
      </c>
    </row>
    <row r="6">
      <c r="A6" s="46" t="n">
        <v>1</v>
      </c>
      <c r="B6" s="108">
        <f>'Monthly Model'!B4</f>
        <v/>
      </c>
      <c r="C6" s="47">
        <f>'Monthly Model'!C4</f>
        <v/>
      </c>
      <c r="D6" s="109">
        <f>'Monthly Model'!F4</f>
        <v/>
      </c>
      <c r="E6" s="40">
        <f>'Monthly Model'!I4</f>
        <v/>
      </c>
      <c r="F6" s="40">
        <f>'Monthly Model'!M4</f>
        <v/>
      </c>
      <c r="G6" s="40">
        <f>'Monthly Model'!U4</f>
        <v/>
      </c>
      <c r="H6" s="110">
        <f>'Monthly Model'!AE4</f>
        <v/>
      </c>
      <c r="I6" s="111">
        <f>'Monthly Model'!AG4</f>
        <v/>
      </c>
      <c r="J6" s="102">
        <f>'Monthly Model'!AF4</f>
        <v/>
      </c>
      <c r="K6" s="102">
        <f>'Monthly Model'!V4</f>
        <v/>
      </c>
      <c r="L6" s="102">
        <f>'Monthly Model'!AI4</f>
        <v/>
      </c>
      <c r="M6" s="102">
        <f>'Monthly Model'!AJ4</f>
        <v/>
      </c>
      <c r="N6" s="112">
        <f>'Monthly Model'!AC4</f>
        <v/>
      </c>
      <c r="O6" s="112">
        <f>'Monthly Model'!AD4</f>
        <v/>
      </c>
      <c r="P6" s="104">
        <f>'Monthly Model'!AL4</f>
        <v/>
      </c>
    </row>
    <row r="7">
      <c r="A7" s="58" t="n">
        <v>2</v>
      </c>
      <c r="B7" s="113">
        <f>'Monthly Model'!B5</f>
        <v/>
      </c>
      <c r="C7" s="66">
        <f>'Monthly Model'!C5</f>
        <v/>
      </c>
      <c r="D7" s="114">
        <f>'Monthly Model'!F5</f>
        <v/>
      </c>
      <c r="E7" s="68">
        <f>'Monthly Model'!I5</f>
        <v/>
      </c>
      <c r="F7" s="68">
        <f>'Monthly Model'!M5</f>
        <v/>
      </c>
      <c r="G7" s="68">
        <f>'Monthly Model'!U5</f>
        <v/>
      </c>
      <c r="H7" s="110">
        <f>'Monthly Model'!AE5</f>
        <v/>
      </c>
      <c r="I7" s="111">
        <f>'Monthly Model'!AG5</f>
        <v/>
      </c>
      <c r="J7" s="102">
        <f>'Monthly Model'!AF5</f>
        <v/>
      </c>
      <c r="K7" s="102">
        <f>'Monthly Model'!V5</f>
        <v/>
      </c>
      <c r="L7" s="102">
        <f>'Monthly Model'!AI5</f>
        <v/>
      </c>
      <c r="M7" s="102">
        <f>'Monthly Model'!AJ5</f>
        <v/>
      </c>
      <c r="N7" s="112">
        <f>'Monthly Model'!AC5</f>
        <v/>
      </c>
      <c r="O7" s="112">
        <f>'Monthly Model'!AD5</f>
        <v/>
      </c>
      <c r="P7" s="104">
        <f>'Monthly Model'!AL5</f>
        <v/>
      </c>
    </row>
    <row r="8">
      <c r="A8" s="46" t="n">
        <v>3</v>
      </c>
      <c r="B8" s="108">
        <f>'Monthly Model'!B6</f>
        <v/>
      </c>
      <c r="C8" s="47">
        <f>'Monthly Model'!C6</f>
        <v/>
      </c>
      <c r="D8" s="109">
        <f>'Monthly Model'!F6</f>
        <v/>
      </c>
      <c r="E8" s="40">
        <f>'Monthly Model'!I6</f>
        <v/>
      </c>
      <c r="F8" s="40">
        <f>'Monthly Model'!M6</f>
        <v/>
      </c>
      <c r="G8" s="40">
        <f>'Monthly Model'!U6</f>
        <v/>
      </c>
      <c r="H8" s="110">
        <f>'Monthly Model'!AE6</f>
        <v/>
      </c>
      <c r="I8" s="111">
        <f>'Monthly Model'!AG6</f>
        <v/>
      </c>
      <c r="J8" s="102">
        <f>'Monthly Model'!AF6</f>
        <v/>
      </c>
      <c r="K8" s="102">
        <f>'Monthly Model'!V6</f>
        <v/>
      </c>
      <c r="L8" s="102">
        <f>'Monthly Model'!AI6</f>
        <v/>
      </c>
      <c r="M8" s="102">
        <f>'Monthly Model'!AJ6</f>
        <v/>
      </c>
      <c r="N8" s="112">
        <f>'Monthly Model'!AC6</f>
        <v/>
      </c>
      <c r="O8" s="112">
        <f>'Monthly Model'!AD6</f>
        <v/>
      </c>
      <c r="P8" s="104">
        <f>'Monthly Model'!AL6</f>
        <v/>
      </c>
    </row>
    <row r="9">
      <c r="A9" s="58" t="n">
        <v>4</v>
      </c>
      <c r="B9" s="113">
        <f>'Monthly Model'!B7</f>
        <v/>
      </c>
      <c r="C9" s="66">
        <f>'Monthly Model'!C7</f>
        <v/>
      </c>
      <c r="D9" s="114">
        <f>'Monthly Model'!F7</f>
        <v/>
      </c>
      <c r="E9" s="68">
        <f>'Monthly Model'!I7</f>
        <v/>
      </c>
      <c r="F9" s="68">
        <f>'Monthly Model'!M7</f>
        <v/>
      </c>
      <c r="G9" s="68">
        <f>'Monthly Model'!U7</f>
        <v/>
      </c>
      <c r="H9" s="110">
        <f>'Monthly Model'!AE7</f>
        <v/>
      </c>
      <c r="I9" s="111">
        <f>'Monthly Model'!AG7</f>
        <v/>
      </c>
      <c r="J9" s="102">
        <f>'Monthly Model'!AF7</f>
        <v/>
      </c>
      <c r="K9" s="102">
        <f>'Monthly Model'!V7</f>
        <v/>
      </c>
      <c r="L9" s="102">
        <f>'Monthly Model'!AI7</f>
        <v/>
      </c>
      <c r="M9" s="102">
        <f>'Monthly Model'!AJ7</f>
        <v/>
      </c>
      <c r="N9" s="112">
        <f>'Monthly Model'!AC7</f>
        <v/>
      </c>
      <c r="O9" s="112">
        <f>'Monthly Model'!AD7</f>
        <v/>
      </c>
      <c r="P9" s="104">
        <f>'Monthly Model'!AL7</f>
        <v/>
      </c>
    </row>
    <row r="10">
      <c r="A10" s="46" t="n">
        <v>5</v>
      </c>
      <c r="B10" s="108">
        <f>'Monthly Model'!B8</f>
        <v/>
      </c>
      <c r="C10" s="47">
        <f>'Monthly Model'!C8</f>
        <v/>
      </c>
      <c r="D10" s="109">
        <f>'Monthly Model'!F8</f>
        <v/>
      </c>
      <c r="E10" s="40">
        <f>'Monthly Model'!I8</f>
        <v/>
      </c>
      <c r="F10" s="40">
        <f>'Monthly Model'!M8</f>
        <v/>
      </c>
      <c r="G10" s="40">
        <f>'Monthly Model'!U8</f>
        <v/>
      </c>
      <c r="H10" s="110">
        <f>'Monthly Model'!AE8</f>
        <v/>
      </c>
      <c r="I10" s="111">
        <f>'Monthly Model'!AG8</f>
        <v/>
      </c>
      <c r="J10" s="102">
        <f>'Monthly Model'!AF8</f>
        <v/>
      </c>
      <c r="K10" s="102">
        <f>'Monthly Model'!V8</f>
        <v/>
      </c>
      <c r="L10" s="102">
        <f>'Monthly Model'!AI8</f>
        <v/>
      </c>
      <c r="M10" s="102">
        <f>'Monthly Model'!AJ8</f>
        <v/>
      </c>
      <c r="N10" s="112">
        <f>'Monthly Model'!AC8</f>
        <v/>
      </c>
      <c r="O10" s="112">
        <f>'Monthly Model'!AD8</f>
        <v/>
      </c>
      <c r="P10" s="104">
        <f>'Monthly Model'!AL8</f>
        <v/>
      </c>
    </row>
    <row r="11">
      <c r="A11" s="58" t="n">
        <v>6</v>
      </c>
      <c r="B11" s="113">
        <f>'Monthly Model'!B9</f>
        <v/>
      </c>
      <c r="C11" s="66">
        <f>'Monthly Model'!C9</f>
        <v/>
      </c>
      <c r="D11" s="114">
        <f>'Monthly Model'!F9</f>
        <v/>
      </c>
      <c r="E11" s="68">
        <f>'Monthly Model'!I9</f>
        <v/>
      </c>
      <c r="F11" s="68">
        <f>'Monthly Model'!M9</f>
        <v/>
      </c>
      <c r="G11" s="68">
        <f>'Monthly Model'!U9</f>
        <v/>
      </c>
      <c r="H11" s="110">
        <f>'Monthly Model'!AE9</f>
        <v/>
      </c>
      <c r="I11" s="111">
        <f>'Monthly Model'!AG9</f>
        <v/>
      </c>
      <c r="J11" s="102">
        <f>'Monthly Model'!AF9</f>
        <v/>
      </c>
      <c r="K11" s="102">
        <f>'Monthly Model'!V9</f>
        <v/>
      </c>
      <c r="L11" s="102">
        <f>'Monthly Model'!AI9</f>
        <v/>
      </c>
      <c r="M11" s="102">
        <f>'Monthly Model'!AJ9</f>
        <v/>
      </c>
      <c r="N11" s="112">
        <f>'Monthly Model'!AC9</f>
        <v/>
      </c>
      <c r="O11" s="112">
        <f>'Monthly Model'!AD9</f>
        <v/>
      </c>
      <c r="P11" s="104">
        <f>'Monthly Model'!AL9</f>
        <v/>
      </c>
    </row>
    <row r="12">
      <c r="A12" s="46" t="n">
        <v>7</v>
      </c>
      <c r="B12" s="108">
        <f>'Monthly Model'!B10</f>
        <v/>
      </c>
      <c r="C12" s="47">
        <f>'Monthly Model'!C10</f>
        <v/>
      </c>
      <c r="D12" s="109">
        <f>'Monthly Model'!F10</f>
        <v/>
      </c>
      <c r="E12" s="40">
        <f>'Monthly Model'!I10</f>
        <v/>
      </c>
      <c r="F12" s="40">
        <f>'Monthly Model'!M10</f>
        <v/>
      </c>
      <c r="G12" s="40">
        <f>'Monthly Model'!U10</f>
        <v/>
      </c>
      <c r="H12" s="110">
        <f>'Monthly Model'!AE10</f>
        <v/>
      </c>
      <c r="I12" s="111">
        <f>'Monthly Model'!AG10</f>
        <v/>
      </c>
      <c r="J12" s="102">
        <f>'Monthly Model'!AF10</f>
        <v/>
      </c>
      <c r="K12" s="102">
        <f>'Monthly Model'!V10</f>
        <v/>
      </c>
      <c r="L12" s="102">
        <f>'Monthly Model'!AI10</f>
        <v/>
      </c>
      <c r="M12" s="102">
        <f>'Monthly Model'!AJ10</f>
        <v/>
      </c>
      <c r="N12" s="112">
        <f>'Monthly Model'!AC10</f>
        <v/>
      </c>
      <c r="O12" s="112">
        <f>'Monthly Model'!AD10</f>
        <v/>
      </c>
      <c r="P12" s="104">
        <f>'Monthly Model'!AL10</f>
        <v/>
      </c>
    </row>
    <row r="13">
      <c r="A13" s="58" t="n">
        <v>8</v>
      </c>
      <c r="B13" s="113">
        <f>'Monthly Model'!B11</f>
        <v/>
      </c>
      <c r="C13" s="66">
        <f>'Monthly Model'!C11</f>
        <v/>
      </c>
      <c r="D13" s="114">
        <f>'Monthly Model'!F11</f>
        <v/>
      </c>
      <c r="E13" s="68">
        <f>'Monthly Model'!I11</f>
        <v/>
      </c>
      <c r="F13" s="68">
        <f>'Monthly Model'!M11</f>
        <v/>
      </c>
      <c r="G13" s="68">
        <f>'Monthly Model'!U11</f>
        <v/>
      </c>
      <c r="H13" s="110">
        <f>'Monthly Model'!AE11</f>
        <v/>
      </c>
      <c r="I13" s="111">
        <f>'Monthly Model'!AG11</f>
        <v/>
      </c>
      <c r="J13" s="102">
        <f>'Monthly Model'!AF11</f>
        <v/>
      </c>
      <c r="K13" s="102">
        <f>'Monthly Model'!V11</f>
        <v/>
      </c>
      <c r="L13" s="102">
        <f>'Monthly Model'!AI11</f>
        <v/>
      </c>
      <c r="M13" s="102">
        <f>'Monthly Model'!AJ11</f>
        <v/>
      </c>
      <c r="N13" s="112">
        <f>'Monthly Model'!AC11</f>
        <v/>
      </c>
      <c r="O13" s="112">
        <f>'Monthly Model'!AD11</f>
        <v/>
      </c>
      <c r="P13" s="104">
        <f>'Monthly Model'!AL11</f>
        <v/>
      </c>
    </row>
    <row r="14">
      <c r="A14" s="46" t="n">
        <v>9</v>
      </c>
      <c r="B14" s="108">
        <f>'Monthly Model'!B12</f>
        <v/>
      </c>
      <c r="C14" s="47">
        <f>'Monthly Model'!C12</f>
        <v/>
      </c>
      <c r="D14" s="109">
        <f>'Monthly Model'!F12</f>
        <v/>
      </c>
      <c r="E14" s="40">
        <f>'Monthly Model'!I12</f>
        <v/>
      </c>
      <c r="F14" s="40">
        <f>'Monthly Model'!M12</f>
        <v/>
      </c>
      <c r="G14" s="40">
        <f>'Monthly Model'!U12</f>
        <v/>
      </c>
      <c r="H14" s="110">
        <f>'Monthly Model'!AE12</f>
        <v/>
      </c>
      <c r="I14" s="111">
        <f>'Monthly Model'!AG12</f>
        <v/>
      </c>
      <c r="J14" s="102">
        <f>'Monthly Model'!AF12</f>
        <v/>
      </c>
      <c r="K14" s="102">
        <f>'Monthly Model'!V12</f>
        <v/>
      </c>
      <c r="L14" s="102">
        <f>'Monthly Model'!AI12</f>
        <v/>
      </c>
      <c r="M14" s="102">
        <f>'Monthly Model'!AJ12</f>
        <v/>
      </c>
      <c r="N14" s="112">
        <f>'Monthly Model'!AC12</f>
        <v/>
      </c>
      <c r="O14" s="112">
        <f>'Monthly Model'!AD12</f>
        <v/>
      </c>
      <c r="P14" s="104">
        <f>'Monthly Model'!AL12</f>
        <v/>
      </c>
    </row>
    <row r="15">
      <c r="A15" s="58" t="n">
        <v>10</v>
      </c>
      <c r="B15" s="113">
        <f>'Monthly Model'!B13</f>
        <v/>
      </c>
      <c r="C15" s="66">
        <f>'Monthly Model'!C13</f>
        <v/>
      </c>
      <c r="D15" s="114">
        <f>'Monthly Model'!F13</f>
        <v/>
      </c>
      <c r="E15" s="68">
        <f>'Monthly Model'!I13</f>
        <v/>
      </c>
      <c r="F15" s="68">
        <f>'Monthly Model'!M13</f>
        <v/>
      </c>
      <c r="G15" s="68">
        <f>'Monthly Model'!U13</f>
        <v/>
      </c>
      <c r="H15" s="110">
        <f>'Monthly Model'!AE13</f>
        <v/>
      </c>
      <c r="I15" s="111">
        <f>'Monthly Model'!AG13</f>
        <v/>
      </c>
      <c r="J15" s="102">
        <f>'Monthly Model'!AF13</f>
        <v/>
      </c>
      <c r="K15" s="102">
        <f>'Monthly Model'!V13</f>
        <v/>
      </c>
      <c r="L15" s="102">
        <f>'Monthly Model'!AI13</f>
        <v/>
      </c>
      <c r="M15" s="102">
        <f>'Monthly Model'!AJ13</f>
        <v/>
      </c>
      <c r="N15" s="112">
        <f>'Monthly Model'!AC13</f>
        <v/>
      </c>
      <c r="O15" s="112">
        <f>'Monthly Model'!AD13</f>
        <v/>
      </c>
      <c r="P15" s="104">
        <f>'Monthly Model'!AL13</f>
        <v/>
      </c>
    </row>
    <row r="16">
      <c r="A16" s="46" t="n">
        <v>11</v>
      </c>
      <c r="B16" s="108">
        <f>'Monthly Model'!B14</f>
        <v/>
      </c>
      <c r="C16" s="47">
        <f>'Monthly Model'!C14</f>
        <v/>
      </c>
      <c r="D16" s="109">
        <f>'Monthly Model'!F14</f>
        <v/>
      </c>
      <c r="E16" s="40">
        <f>'Monthly Model'!I14</f>
        <v/>
      </c>
      <c r="F16" s="40">
        <f>'Monthly Model'!M14</f>
        <v/>
      </c>
      <c r="G16" s="40">
        <f>'Monthly Model'!U14</f>
        <v/>
      </c>
      <c r="H16" s="110">
        <f>'Monthly Model'!AE14</f>
        <v/>
      </c>
      <c r="I16" s="111">
        <f>'Monthly Model'!AG14</f>
        <v/>
      </c>
      <c r="J16" s="102">
        <f>'Monthly Model'!AF14</f>
        <v/>
      </c>
      <c r="K16" s="102">
        <f>'Monthly Model'!V14</f>
        <v/>
      </c>
      <c r="L16" s="102">
        <f>'Monthly Model'!AI14</f>
        <v/>
      </c>
      <c r="M16" s="102">
        <f>'Monthly Model'!AJ14</f>
        <v/>
      </c>
      <c r="N16" s="112">
        <f>'Monthly Model'!AC14</f>
        <v/>
      </c>
      <c r="O16" s="112">
        <f>'Monthly Model'!AD14</f>
        <v/>
      </c>
      <c r="P16" s="104">
        <f>'Monthly Model'!AL14</f>
        <v/>
      </c>
    </row>
    <row r="17">
      <c r="A17" s="58" t="n">
        <v>12</v>
      </c>
      <c r="B17" s="113">
        <f>'Monthly Model'!B15</f>
        <v/>
      </c>
      <c r="C17" s="66">
        <f>'Monthly Model'!C15</f>
        <v/>
      </c>
      <c r="D17" s="114">
        <f>'Monthly Model'!F15</f>
        <v/>
      </c>
      <c r="E17" s="68">
        <f>'Monthly Model'!I15</f>
        <v/>
      </c>
      <c r="F17" s="68">
        <f>'Monthly Model'!M15</f>
        <v/>
      </c>
      <c r="G17" s="68">
        <f>'Monthly Model'!U15</f>
        <v/>
      </c>
      <c r="H17" s="110">
        <f>'Monthly Model'!AE15</f>
        <v/>
      </c>
      <c r="I17" s="111">
        <f>'Monthly Model'!AG15</f>
        <v/>
      </c>
      <c r="J17" s="102">
        <f>'Monthly Model'!AF15</f>
        <v/>
      </c>
      <c r="K17" s="102">
        <f>'Monthly Model'!V15</f>
        <v/>
      </c>
      <c r="L17" s="102">
        <f>'Monthly Model'!AI15</f>
        <v/>
      </c>
      <c r="M17" s="102">
        <f>'Monthly Model'!AJ15</f>
        <v/>
      </c>
      <c r="N17" s="112">
        <f>'Monthly Model'!AC15</f>
        <v/>
      </c>
      <c r="O17" s="112">
        <f>'Monthly Model'!AD15</f>
        <v/>
      </c>
      <c r="P17" s="104">
        <f>'Monthly Model'!AL15</f>
        <v/>
      </c>
    </row>
    <row r="18">
      <c r="A18" s="46" t="n">
        <v>13</v>
      </c>
      <c r="B18" s="108">
        <f>'Monthly Model'!B16</f>
        <v/>
      </c>
      <c r="C18" s="47">
        <f>'Monthly Model'!C16</f>
        <v/>
      </c>
      <c r="D18" s="109">
        <f>'Monthly Model'!F16</f>
        <v/>
      </c>
      <c r="E18" s="40">
        <f>'Monthly Model'!I16</f>
        <v/>
      </c>
      <c r="F18" s="40">
        <f>'Monthly Model'!M16</f>
        <v/>
      </c>
      <c r="G18" s="40">
        <f>'Monthly Model'!U16</f>
        <v/>
      </c>
      <c r="H18" s="110">
        <f>'Monthly Model'!AE16</f>
        <v/>
      </c>
      <c r="I18" s="111">
        <f>'Monthly Model'!AG16</f>
        <v/>
      </c>
      <c r="J18" s="102">
        <f>'Monthly Model'!AF16</f>
        <v/>
      </c>
      <c r="K18" s="102">
        <f>'Monthly Model'!V16</f>
        <v/>
      </c>
      <c r="L18" s="102">
        <f>'Monthly Model'!AI16</f>
        <v/>
      </c>
      <c r="M18" s="102">
        <f>'Monthly Model'!AJ16</f>
        <v/>
      </c>
      <c r="N18" s="112">
        <f>'Monthly Model'!AC16</f>
        <v/>
      </c>
      <c r="O18" s="112">
        <f>'Monthly Model'!AD16</f>
        <v/>
      </c>
      <c r="P18" s="104">
        <f>'Monthly Model'!AL16</f>
        <v/>
      </c>
    </row>
    <row r="19">
      <c r="A19" s="58" t="n">
        <v>14</v>
      </c>
      <c r="B19" s="113">
        <f>'Monthly Model'!B17</f>
        <v/>
      </c>
      <c r="C19" s="66">
        <f>'Monthly Model'!C17</f>
        <v/>
      </c>
      <c r="D19" s="114">
        <f>'Monthly Model'!F17</f>
        <v/>
      </c>
      <c r="E19" s="68">
        <f>'Monthly Model'!I17</f>
        <v/>
      </c>
      <c r="F19" s="68">
        <f>'Monthly Model'!M17</f>
        <v/>
      </c>
      <c r="G19" s="68">
        <f>'Monthly Model'!U17</f>
        <v/>
      </c>
      <c r="H19" s="110">
        <f>'Monthly Model'!AE17</f>
        <v/>
      </c>
      <c r="I19" s="111">
        <f>'Monthly Model'!AG17</f>
        <v/>
      </c>
      <c r="J19" s="102">
        <f>'Monthly Model'!AF17</f>
        <v/>
      </c>
      <c r="K19" s="102">
        <f>'Monthly Model'!V17</f>
        <v/>
      </c>
      <c r="L19" s="102">
        <f>'Monthly Model'!AI17</f>
        <v/>
      </c>
      <c r="M19" s="102">
        <f>'Monthly Model'!AJ17</f>
        <v/>
      </c>
      <c r="N19" s="112">
        <f>'Monthly Model'!AC17</f>
        <v/>
      </c>
      <c r="O19" s="112">
        <f>'Monthly Model'!AD17</f>
        <v/>
      </c>
      <c r="P19" s="104">
        <f>'Monthly Model'!AL17</f>
        <v/>
      </c>
    </row>
    <row r="20">
      <c r="A20" s="46" t="n">
        <v>15</v>
      </c>
      <c r="B20" s="108">
        <f>'Monthly Model'!B18</f>
        <v/>
      </c>
      <c r="C20" s="47">
        <f>'Monthly Model'!C18</f>
        <v/>
      </c>
      <c r="D20" s="109">
        <f>'Monthly Model'!F18</f>
        <v/>
      </c>
      <c r="E20" s="40">
        <f>'Monthly Model'!I18</f>
        <v/>
      </c>
      <c r="F20" s="40">
        <f>'Monthly Model'!M18</f>
        <v/>
      </c>
      <c r="G20" s="40">
        <f>'Monthly Model'!U18</f>
        <v/>
      </c>
      <c r="H20" s="110">
        <f>'Monthly Model'!AE18</f>
        <v/>
      </c>
      <c r="I20" s="111">
        <f>'Monthly Model'!AG18</f>
        <v/>
      </c>
      <c r="J20" s="102">
        <f>'Monthly Model'!AF18</f>
        <v/>
      </c>
      <c r="K20" s="102">
        <f>'Monthly Model'!V18</f>
        <v/>
      </c>
      <c r="L20" s="102">
        <f>'Monthly Model'!AI18</f>
        <v/>
      </c>
      <c r="M20" s="102">
        <f>'Monthly Model'!AJ18</f>
        <v/>
      </c>
      <c r="N20" s="112">
        <f>'Monthly Model'!AC18</f>
        <v/>
      </c>
      <c r="O20" s="112">
        <f>'Monthly Model'!AD18</f>
        <v/>
      </c>
      <c r="P20" s="104">
        <f>'Monthly Model'!AL18</f>
        <v/>
      </c>
    </row>
    <row r="21" ht="15.75" customHeight="1" s="85">
      <c r="A21" s="58" t="n">
        <v>16</v>
      </c>
      <c r="B21" s="113">
        <f>'Monthly Model'!B19</f>
        <v/>
      </c>
      <c r="C21" s="66">
        <f>'Monthly Model'!C19</f>
        <v/>
      </c>
      <c r="D21" s="114">
        <f>'Monthly Model'!F19</f>
        <v/>
      </c>
      <c r="E21" s="68">
        <f>'Monthly Model'!I19</f>
        <v/>
      </c>
      <c r="F21" s="68">
        <f>'Monthly Model'!M19</f>
        <v/>
      </c>
      <c r="G21" s="68">
        <f>'Monthly Model'!U19</f>
        <v/>
      </c>
      <c r="H21" s="110">
        <f>'Monthly Model'!AE19</f>
        <v/>
      </c>
      <c r="I21" s="111">
        <f>'Monthly Model'!AG19</f>
        <v/>
      </c>
      <c r="J21" s="102">
        <f>'Monthly Model'!AF19</f>
        <v/>
      </c>
      <c r="K21" s="102">
        <f>'Monthly Model'!V19</f>
        <v/>
      </c>
      <c r="L21" s="102">
        <f>'Monthly Model'!AI19</f>
        <v/>
      </c>
      <c r="M21" s="102">
        <f>'Monthly Model'!AJ19</f>
        <v/>
      </c>
      <c r="N21" s="112">
        <f>'Monthly Model'!AC19</f>
        <v/>
      </c>
      <c r="O21" s="112">
        <f>'Monthly Model'!AD19</f>
        <v/>
      </c>
      <c r="P21" s="104">
        <f>'Monthly Model'!AL19</f>
        <v/>
      </c>
    </row>
    <row r="22" ht="15.75" customHeight="1" s="85">
      <c r="A22" s="46" t="n">
        <v>17</v>
      </c>
      <c r="B22" s="108">
        <f>'Monthly Model'!B20</f>
        <v/>
      </c>
      <c r="C22" s="47">
        <f>'Monthly Model'!C20</f>
        <v/>
      </c>
      <c r="D22" s="109">
        <f>'Monthly Model'!F20</f>
        <v/>
      </c>
      <c r="E22" s="40">
        <f>'Monthly Model'!I20</f>
        <v/>
      </c>
      <c r="F22" s="40">
        <f>'Monthly Model'!M20</f>
        <v/>
      </c>
      <c r="G22" s="40">
        <f>'Monthly Model'!U20</f>
        <v/>
      </c>
      <c r="H22" s="110">
        <f>'Monthly Model'!AE20</f>
        <v/>
      </c>
      <c r="I22" s="111">
        <f>'Monthly Model'!AG20</f>
        <v/>
      </c>
      <c r="J22" s="102">
        <f>'Monthly Model'!AF20</f>
        <v/>
      </c>
      <c r="K22" s="102">
        <f>'Monthly Model'!V20</f>
        <v/>
      </c>
      <c r="L22" s="102">
        <f>'Monthly Model'!AI20</f>
        <v/>
      </c>
      <c r="M22" s="102">
        <f>'Monthly Model'!AJ20</f>
        <v/>
      </c>
      <c r="N22" s="112">
        <f>'Monthly Model'!AC20</f>
        <v/>
      </c>
      <c r="O22" s="112">
        <f>'Monthly Model'!AD20</f>
        <v/>
      </c>
      <c r="P22" s="104">
        <f>'Monthly Model'!AL20</f>
        <v/>
      </c>
    </row>
    <row r="23" ht="15.75" customHeight="1" s="85">
      <c r="A23" s="58" t="n">
        <v>18</v>
      </c>
      <c r="B23" s="113">
        <f>'Monthly Model'!B21</f>
        <v/>
      </c>
      <c r="C23" s="66">
        <f>'Monthly Model'!C21</f>
        <v/>
      </c>
      <c r="D23" s="114">
        <f>'Monthly Model'!F21</f>
        <v/>
      </c>
      <c r="E23" s="68">
        <f>'Monthly Model'!I21</f>
        <v/>
      </c>
      <c r="F23" s="68">
        <f>'Monthly Model'!M21</f>
        <v/>
      </c>
      <c r="G23" s="68">
        <f>'Monthly Model'!U21</f>
        <v/>
      </c>
      <c r="H23" s="110">
        <f>'Monthly Model'!AE21</f>
        <v/>
      </c>
      <c r="I23" s="111">
        <f>'Monthly Model'!AG21</f>
        <v/>
      </c>
      <c r="J23" s="102">
        <f>'Monthly Model'!AF21</f>
        <v/>
      </c>
      <c r="K23" s="102">
        <f>'Monthly Model'!V21</f>
        <v/>
      </c>
      <c r="L23" s="102">
        <f>'Monthly Model'!AI21</f>
        <v/>
      </c>
      <c r="M23" s="102">
        <f>'Monthly Model'!AJ21</f>
        <v/>
      </c>
      <c r="N23" s="112">
        <f>'Monthly Model'!AC21</f>
        <v/>
      </c>
      <c r="O23" s="112">
        <f>'Monthly Model'!AD21</f>
        <v/>
      </c>
      <c r="P23" s="104">
        <f>'Monthly Model'!AL21</f>
        <v/>
      </c>
    </row>
    <row r="24" ht="15.75" customHeight="1" s="85">
      <c r="A24" s="46" t="n">
        <v>19</v>
      </c>
      <c r="B24" s="108">
        <f>'Monthly Model'!B22</f>
        <v/>
      </c>
      <c r="C24" s="47">
        <f>'Monthly Model'!C22</f>
        <v/>
      </c>
      <c r="D24" s="109">
        <f>'Monthly Model'!F22</f>
        <v/>
      </c>
      <c r="E24" s="40">
        <f>'Monthly Model'!I22</f>
        <v/>
      </c>
      <c r="F24" s="40">
        <f>'Monthly Model'!M22</f>
        <v/>
      </c>
      <c r="G24" s="40">
        <f>'Monthly Model'!U22</f>
        <v/>
      </c>
      <c r="H24" s="110">
        <f>'Monthly Model'!AE22</f>
        <v/>
      </c>
      <c r="I24" s="111">
        <f>'Monthly Model'!AG22</f>
        <v/>
      </c>
      <c r="J24" s="102">
        <f>'Monthly Model'!AF22</f>
        <v/>
      </c>
      <c r="K24" s="102">
        <f>'Monthly Model'!V22</f>
        <v/>
      </c>
      <c r="L24" s="102">
        <f>'Monthly Model'!AI22</f>
        <v/>
      </c>
      <c r="M24" s="102">
        <f>'Monthly Model'!AJ22</f>
        <v/>
      </c>
      <c r="N24" s="112">
        <f>'Monthly Model'!AC22</f>
        <v/>
      </c>
      <c r="O24" s="112">
        <f>'Monthly Model'!AD22</f>
        <v/>
      </c>
      <c r="P24" s="104">
        <f>'Monthly Model'!AL22</f>
        <v/>
      </c>
    </row>
    <row r="25" ht="15.75" customHeight="1" s="85">
      <c r="A25" s="58" t="n">
        <v>20</v>
      </c>
      <c r="B25" s="113">
        <f>'Monthly Model'!B23</f>
        <v/>
      </c>
      <c r="C25" s="66">
        <f>'Monthly Model'!C23</f>
        <v/>
      </c>
      <c r="D25" s="114">
        <f>'Monthly Model'!F23</f>
        <v/>
      </c>
      <c r="E25" s="68">
        <f>'Monthly Model'!I23</f>
        <v/>
      </c>
      <c r="F25" s="68">
        <f>'Monthly Model'!M23</f>
        <v/>
      </c>
      <c r="G25" s="68">
        <f>'Monthly Model'!U23</f>
        <v/>
      </c>
      <c r="H25" s="110">
        <f>'Monthly Model'!AE23</f>
        <v/>
      </c>
      <c r="I25" s="111">
        <f>'Monthly Model'!AG23</f>
        <v/>
      </c>
      <c r="J25" s="102">
        <f>'Monthly Model'!AF23</f>
        <v/>
      </c>
      <c r="K25" s="102">
        <f>'Monthly Model'!V23</f>
        <v/>
      </c>
      <c r="L25" s="102">
        <f>'Monthly Model'!AI23</f>
        <v/>
      </c>
      <c r="M25" s="102">
        <f>'Monthly Model'!AJ23</f>
        <v/>
      </c>
      <c r="N25" s="112">
        <f>'Monthly Model'!AC23</f>
        <v/>
      </c>
      <c r="O25" s="112">
        <f>'Monthly Model'!AD23</f>
        <v/>
      </c>
      <c r="P25" s="104">
        <f>'Monthly Model'!AL23</f>
        <v/>
      </c>
    </row>
    <row r="26" ht="15.75" customHeight="1" s="85">
      <c r="A26" s="46" t="n">
        <v>21</v>
      </c>
      <c r="B26" s="108">
        <f>'Monthly Model'!B24</f>
        <v/>
      </c>
      <c r="C26" s="47">
        <f>'Monthly Model'!C24</f>
        <v/>
      </c>
      <c r="D26" s="109">
        <f>'Monthly Model'!F24</f>
        <v/>
      </c>
      <c r="E26" s="40">
        <f>'Monthly Model'!I24</f>
        <v/>
      </c>
      <c r="F26" s="40">
        <f>'Monthly Model'!M24</f>
        <v/>
      </c>
      <c r="G26" s="40">
        <f>'Monthly Model'!U24</f>
        <v/>
      </c>
      <c r="H26" s="110">
        <f>'Monthly Model'!AE24</f>
        <v/>
      </c>
      <c r="I26" s="111">
        <f>'Monthly Model'!AG24</f>
        <v/>
      </c>
      <c r="J26" s="102">
        <f>'Monthly Model'!AF24</f>
        <v/>
      </c>
      <c r="K26" s="102">
        <f>'Monthly Model'!V24</f>
        <v/>
      </c>
      <c r="L26" s="102">
        <f>'Monthly Model'!AI24</f>
        <v/>
      </c>
      <c r="M26" s="102">
        <f>'Monthly Model'!AJ24</f>
        <v/>
      </c>
      <c r="N26" s="112">
        <f>'Monthly Model'!AC24</f>
        <v/>
      </c>
      <c r="O26" s="112">
        <f>'Monthly Model'!AD24</f>
        <v/>
      </c>
      <c r="P26" s="104">
        <f>'Monthly Model'!AL24</f>
        <v/>
      </c>
    </row>
    <row r="27" ht="15.75" customHeight="1" s="85">
      <c r="A27" s="58" t="n">
        <v>22</v>
      </c>
      <c r="B27" s="113">
        <f>'Monthly Model'!B25</f>
        <v/>
      </c>
      <c r="C27" s="66">
        <f>'Monthly Model'!C25</f>
        <v/>
      </c>
      <c r="D27" s="114">
        <f>'Monthly Model'!F25</f>
        <v/>
      </c>
      <c r="E27" s="68">
        <f>'Monthly Model'!I25</f>
        <v/>
      </c>
      <c r="F27" s="68">
        <f>'Monthly Model'!M25</f>
        <v/>
      </c>
      <c r="G27" s="68">
        <f>'Monthly Model'!U25</f>
        <v/>
      </c>
      <c r="H27" s="110">
        <f>'Monthly Model'!AE25</f>
        <v/>
      </c>
      <c r="I27" s="111">
        <f>'Monthly Model'!AG25</f>
        <v/>
      </c>
      <c r="J27" s="102">
        <f>'Monthly Model'!AF25</f>
        <v/>
      </c>
      <c r="K27" s="102">
        <f>'Monthly Model'!V25</f>
        <v/>
      </c>
      <c r="L27" s="102">
        <f>'Monthly Model'!AI25</f>
        <v/>
      </c>
      <c r="M27" s="102">
        <f>'Monthly Model'!AJ25</f>
        <v/>
      </c>
      <c r="N27" s="112">
        <f>'Monthly Model'!AC25</f>
        <v/>
      </c>
      <c r="O27" s="112">
        <f>'Monthly Model'!AD25</f>
        <v/>
      </c>
      <c r="P27" s="104">
        <f>'Monthly Model'!AL25</f>
        <v/>
      </c>
    </row>
    <row r="28" ht="15.75" customHeight="1" s="85">
      <c r="A28" s="46" t="n">
        <v>23</v>
      </c>
      <c r="B28" s="108">
        <f>'Monthly Model'!B26</f>
        <v/>
      </c>
      <c r="C28" s="47">
        <f>'Monthly Model'!C26</f>
        <v/>
      </c>
      <c r="D28" s="109">
        <f>'Monthly Model'!F26</f>
        <v/>
      </c>
      <c r="E28" s="40">
        <f>'Monthly Model'!I26</f>
        <v/>
      </c>
      <c r="F28" s="40">
        <f>'Monthly Model'!M26</f>
        <v/>
      </c>
      <c r="G28" s="40">
        <f>'Monthly Model'!U26</f>
        <v/>
      </c>
      <c r="H28" s="110">
        <f>'Monthly Model'!AE26</f>
        <v/>
      </c>
      <c r="I28" s="111">
        <f>'Monthly Model'!AG26</f>
        <v/>
      </c>
      <c r="J28" s="102">
        <f>'Monthly Model'!AF26</f>
        <v/>
      </c>
      <c r="K28" s="102">
        <f>'Monthly Model'!V26</f>
        <v/>
      </c>
      <c r="L28" s="102">
        <f>'Monthly Model'!AI26</f>
        <v/>
      </c>
      <c r="M28" s="102">
        <f>'Monthly Model'!AJ26</f>
        <v/>
      </c>
      <c r="N28" s="112">
        <f>'Monthly Model'!AC26</f>
        <v/>
      </c>
      <c r="O28" s="112">
        <f>'Monthly Model'!AD26</f>
        <v/>
      </c>
      <c r="P28" s="104">
        <f>'Monthly Model'!AL26</f>
        <v/>
      </c>
    </row>
    <row r="29" ht="15.75" customHeight="1" s="85">
      <c r="A29" s="58" t="n">
        <v>24</v>
      </c>
      <c r="B29" s="113">
        <f>'Monthly Model'!B27</f>
        <v/>
      </c>
      <c r="C29" s="66">
        <f>'Monthly Model'!C27</f>
        <v/>
      </c>
      <c r="D29" s="114">
        <f>'Monthly Model'!F27</f>
        <v/>
      </c>
      <c r="E29" s="68">
        <f>'Monthly Model'!I27</f>
        <v/>
      </c>
      <c r="F29" s="68">
        <f>'Monthly Model'!M27</f>
        <v/>
      </c>
      <c r="G29" s="68">
        <f>'Monthly Model'!U27</f>
        <v/>
      </c>
      <c r="H29" s="110">
        <f>'Monthly Model'!AE27</f>
        <v/>
      </c>
      <c r="I29" s="111">
        <f>'Monthly Model'!AG27</f>
        <v/>
      </c>
      <c r="J29" s="102">
        <f>'Monthly Model'!AF27</f>
        <v/>
      </c>
      <c r="K29" s="102">
        <f>'Monthly Model'!V27</f>
        <v/>
      </c>
      <c r="L29" s="102">
        <f>'Monthly Model'!AI27</f>
        <v/>
      </c>
      <c r="M29" s="102">
        <f>'Monthly Model'!AJ27</f>
        <v/>
      </c>
      <c r="N29" s="112">
        <f>'Monthly Model'!AC27</f>
        <v/>
      </c>
      <c r="O29" s="112">
        <f>'Monthly Model'!AD27</f>
        <v/>
      </c>
      <c r="P29" s="104">
        <f>'Monthly Model'!AL27</f>
        <v/>
      </c>
    </row>
    <row r="30" ht="15.75" customHeight="1" s="85">
      <c r="A30" s="46" t="n">
        <v>25</v>
      </c>
      <c r="B30" s="108">
        <f>'Monthly Model'!B28</f>
        <v/>
      </c>
      <c r="C30" s="47">
        <f>'Monthly Model'!C28</f>
        <v/>
      </c>
      <c r="D30" s="109">
        <f>'Monthly Model'!F28</f>
        <v/>
      </c>
      <c r="E30" s="40">
        <f>'Monthly Model'!I28</f>
        <v/>
      </c>
      <c r="F30" s="40">
        <f>'Monthly Model'!M28</f>
        <v/>
      </c>
      <c r="G30" s="40">
        <f>'Monthly Model'!U28</f>
        <v/>
      </c>
      <c r="H30" s="110">
        <f>'Monthly Model'!AE28</f>
        <v/>
      </c>
      <c r="I30" s="111">
        <f>'Monthly Model'!AG28</f>
        <v/>
      </c>
      <c r="J30" s="102">
        <f>'Monthly Model'!AF28</f>
        <v/>
      </c>
      <c r="K30" s="102">
        <f>'Monthly Model'!V28</f>
        <v/>
      </c>
      <c r="L30" s="102">
        <f>'Monthly Model'!AI28</f>
        <v/>
      </c>
      <c r="M30" s="102">
        <f>'Monthly Model'!AJ28</f>
        <v/>
      </c>
      <c r="N30" s="112">
        <f>'Monthly Model'!AC28</f>
        <v/>
      </c>
      <c r="O30" s="112">
        <f>'Monthly Model'!AD28</f>
        <v/>
      </c>
      <c r="P30" s="104">
        <f>'Monthly Model'!AL28</f>
        <v/>
      </c>
    </row>
    <row r="31" ht="15.75" customHeight="1" s="85">
      <c r="A31" s="58" t="n">
        <v>26</v>
      </c>
      <c r="B31" s="113">
        <f>'Monthly Model'!B29</f>
        <v/>
      </c>
      <c r="C31" s="66">
        <f>'Monthly Model'!C29</f>
        <v/>
      </c>
      <c r="D31" s="114">
        <f>'Monthly Model'!F29</f>
        <v/>
      </c>
      <c r="E31" s="68">
        <f>'Monthly Model'!I29</f>
        <v/>
      </c>
      <c r="F31" s="68">
        <f>'Monthly Model'!M29</f>
        <v/>
      </c>
      <c r="G31" s="68">
        <f>'Monthly Model'!U29</f>
        <v/>
      </c>
      <c r="H31" s="110">
        <f>'Monthly Model'!AE29</f>
        <v/>
      </c>
      <c r="I31" s="111">
        <f>'Monthly Model'!AG29</f>
        <v/>
      </c>
      <c r="J31" s="102">
        <f>'Monthly Model'!AF29</f>
        <v/>
      </c>
      <c r="K31" s="102">
        <f>'Monthly Model'!V29</f>
        <v/>
      </c>
      <c r="L31" s="102">
        <f>'Monthly Model'!AI29</f>
        <v/>
      </c>
      <c r="M31" s="102">
        <f>'Monthly Model'!AJ29</f>
        <v/>
      </c>
      <c r="N31" s="112">
        <f>'Monthly Model'!AC29</f>
        <v/>
      </c>
      <c r="O31" s="112">
        <f>'Monthly Model'!AD29</f>
        <v/>
      </c>
      <c r="P31" s="104">
        <f>'Monthly Model'!AL29</f>
        <v/>
      </c>
    </row>
    <row r="32" ht="15.75" customHeight="1" s="85">
      <c r="A32" s="46" t="n">
        <v>27</v>
      </c>
      <c r="B32" s="108">
        <f>'Monthly Model'!B30</f>
        <v/>
      </c>
      <c r="C32" s="47">
        <f>'Monthly Model'!C30</f>
        <v/>
      </c>
      <c r="D32" s="109">
        <f>'Monthly Model'!F30</f>
        <v/>
      </c>
      <c r="E32" s="40">
        <f>'Monthly Model'!I30</f>
        <v/>
      </c>
      <c r="F32" s="40">
        <f>'Monthly Model'!M30</f>
        <v/>
      </c>
      <c r="G32" s="40">
        <f>'Monthly Model'!U30</f>
        <v/>
      </c>
      <c r="H32" s="110">
        <f>'Monthly Model'!AE30</f>
        <v/>
      </c>
      <c r="I32" s="111">
        <f>'Monthly Model'!AG30</f>
        <v/>
      </c>
      <c r="J32" s="102">
        <f>'Monthly Model'!AF30</f>
        <v/>
      </c>
      <c r="K32" s="102">
        <f>'Monthly Model'!V30</f>
        <v/>
      </c>
      <c r="L32" s="102">
        <f>'Monthly Model'!AI30</f>
        <v/>
      </c>
      <c r="M32" s="102">
        <f>'Monthly Model'!AJ30</f>
        <v/>
      </c>
      <c r="N32" s="112">
        <f>'Monthly Model'!AC30</f>
        <v/>
      </c>
      <c r="O32" s="112">
        <f>'Monthly Model'!AD30</f>
        <v/>
      </c>
      <c r="P32" s="104">
        <f>'Monthly Model'!AL30</f>
        <v/>
      </c>
    </row>
    <row r="33" ht="15.75" customHeight="1" s="85">
      <c r="A33" s="58" t="n">
        <v>28</v>
      </c>
      <c r="B33" s="113">
        <f>'Monthly Model'!B31</f>
        <v/>
      </c>
      <c r="C33" s="66">
        <f>'Monthly Model'!C31</f>
        <v/>
      </c>
      <c r="D33" s="114">
        <f>'Monthly Model'!F31</f>
        <v/>
      </c>
      <c r="E33" s="68">
        <f>'Monthly Model'!I31</f>
        <v/>
      </c>
      <c r="F33" s="68">
        <f>'Monthly Model'!M31</f>
        <v/>
      </c>
      <c r="G33" s="68">
        <f>'Monthly Model'!U31</f>
        <v/>
      </c>
      <c r="H33" s="110">
        <f>'Monthly Model'!AE31</f>
        <v/>
      </c>
      <c r="I33" s="111">
        <f>'Monthly Model'!AG31</f>
        <v/>
      </c>
      <c r="J33" s="102">
        <f>'Monthly Model'!AF31</f>
        <v/>
      </c>
      <c r="K33" s="102">
        <f>'Monthly Model'!V31</f>
        <v/>
      </c>
      <c r="L33" s="102">
        <f>'Monthly Model'!AI31</f>
        <v/>
      </c>
      <c r="M33" s="102">
        <f>'Monthly Model'!AJ31</f>
        <v/>
      </c>
      <c r="N33" s="112">
        <f>'Monthly Model'!AC31</f>
        <v/>
      </c>
      <c r="O33" s="112">
        <f>'Monthly Model'!AD31</f>
        <v/>
      </c>
      <c r="P33" s="104">
        <f>'Monthly Model'!AL31</f>
        <v/>
      </c>
    </row>
    <row r="34" ht="15.75" customHeight="1" s="85">
      <c r="A34" s="46" t="n">
        <v>29</v>
      </c>
      <c r="B34" s="108">
        <f>'Monthly Model'!B32</f>
        <v/>
      </c>
      <c r="C34" s="47">
        <f>'Monthly Model'!C32</f>
        <v/>
      </c>
      <c r="D34" s="109">
        <f>'Monthly Model'!F32</f>
        <v/>
      </c>
      <c r="E34" s="40">
        <f>'Monthly Model'!I32</f>
        <v/>
      </c>
      <c r="F34" s="40">
        <f>'Monthly Model'!M32</f>
        <v/>
      </c>
      <c r="G34" s="40">
        <f>'Monthly Model'!U32</f>
        <v/>
      </c>
      <c r="H34" s="110">
        <f>'Monthly Model'!AE32</f>
        <v/>
      </c>
      <c r="I34" s="111">
        <f>'Monthly Model'!AG32</f>
        <v/>
      </c>
      <c r="J34" s="102">
        <f>'Monthly Model'!AF32</f>
        <v/>
      </c>
      <c r="K34" s="102">
        <f>'Monthly Model'!V32</f>
        <v/>
      </c>
      <c r="L34" s="102">
        <f>'Monthly Model'!AI32</f>
        <v/>
      </c>
      <c r="M34" s="102">
        <f>'Monthly Model'!AJ32</f>
        <v/>
      </c>
      <c r="N34" s="112">
        <f>'Monthly Model'!AC32</f>
        <v/>
      </c>
      <c r="O34" s="112">
        <f>'Monthly Model'!AD32</f>
        <v/>
      </c>
      <c r="P34" s="104">
        <f>'Monthly Model'!AL32</f>
        <v/>
      </c>
    </row>
    <row r="35" ht="15.75" customHeight="1" s="85">
      <c r="A35" s="58" t="n">
        <v>30</v>
      </c>
      <c r="B35" s="113">
        <f>'Monthly Model'!B33</f>
        <v/>
      </c>
      <c r="C35" s="66">
        <f>'Monthly Model'!C33</f>
        <v/>
      </c>
      <c r="D35" s="114">
        <f>'Monthly Model'!F33</f>
        <v/>
      </c>
      <c r="E35" s="68">
        <f>'Monthly Model'!I33</f>
        <v/>
      </c>
      <c r="F35" s="68">
        <f>'Monthly Model'!M33</f>
        <v/>
      </c>
      <c r="G35" s="68">
        <f>'Monthly Model'!U33</f>
        <v/>
      </c>
      <c r="H35" s="110">
        <f>'Monthly Model'!AE33</f>
        <v/>
      </c>
      <c r="I35" s="111">
        <f>'Monthly Model'!AG33</f>
        <v/>
      </c>
      <c r="J35" s="102">
        <f>'Monthly Model'!AF33</f>
        <v/>
      </c>
      <c r="K35" s="102">
        <f>'Monthly Model'!V33</f>
        <v/>
      </c>
      <c r="L35" s="102">
        <f>'Monthly Model'!AI33</f>
        <v/>
      </c>
      <c r="M35" s="102">
        <f>'Monthly Model'!AJ33</f>
        <v/>
      </c>
      <c r="N35" s="112">
        <f>'Monthly Model'!AC33</f>
        <v/>
      </c>
      <c r="O35" s="112">
        <f>'Monthly Model'!AD33</f>
        <v/>
      </c>
      <c r="P35" s="104">
        <f>'Monthly Model'!AL33</f>
        <v/>
      </c>
    </row>
    <row r="36" ht="15.75" customHeight="1" s="85">
      <c r="A36" s="46" t="n">
        <v>31</v>
      </c>
      <c r="B36" s="108">
        <f>'Monthly Model'!B34</f>
        <v/>
      </c>
      <c r="C36" s="47">
        <f>'Monthly Model'!C34</f>
        <v/>
      </c>
      <c r="D36" s="109">
        <f>'Monthly Model'!F34</f>
        <v/>
      </c>
      <c r="E36" s="40">
        <f>'Monthly Model'!I34</f>
        <v/>
      </c>
      <c r="F36" s="40">
        <f>'Monthly Model'!M34</f>
        <v/>
      </c>
      <c r="G36" s="40">
        <f>'Monthly Model'!U34</f>
        <v/>
      </c>
      <c r="H36" s="110">
        <f>'Monthly Model'!AE34</f>
        <v/>
      </c>
      <c r="I36" s="111">
        <f>'Monthly Model'!AG34</f>
        <v/>
      </c>
      <c r="J36" s="102">
        <f>'Monthly Model'!AF34</f>
        <v/>
      </c>
      <c r="K36" s="102">
        <f>'Monthly Model'!V34</f>
        <v/>
      </c>
      <c r="L36" s="102">
        <f>'Monthly Model'!AI34</f>
        <v/>
      </c>
      <c r="M36" s="102">
        <f>'Monthly Model'!AJ34</f>
        <v/>
      </c>
      <c r="N36" s="112">
        <f>'Monthly Model'!AC34</f>
        <v/>
      </c>
      <c r="O36" s="112">
        <f>'Monthly Model'!AD34</f>
        <v/>
      </c>
      <c r="P36" s="104">
        <f>'Monthly Model'!AL34</f>
        <v/>
      </c>
    </row>
    <row r="37" ht="15.75" customHeight="1" s="85">
      <c r="A37" s="58" t="n">
        <v>32</v>
      </c>
      <c r="B37" s="113">
        <f>'Monthly Model'!B35</f>
        <v/>
      </c>
      <c r="C37" s="66">
        <f>'Monthly Model'!C35</f>
        <v/>
      </c>
      <c r="D37" s="114">
        <f>'Monthly Model'!F35</f>
        <v/>
      </c>
      <c r="E37" s="68">
        <f>'Monthly Model'!I35</f>
        <v/>
      </c>
      <c r="F37" s="68">
        <f>'Monthly Model'!M35</f>
        <v/>
      </c>
      <c r="G37" s="68">
        <f>'Monthly Model'!U35</f>
        <v/>
      </c>
      <c r="H37" s="110">
        <f>'Monthly Model'!AE35</f>
        <v/>
      </c>
      <c r="I37" s="111">
        <f>'Monthly Model'!AG35</f>
        <v/>
      </c>
      <c r="J37" s="102">
        <f>'Monthly Model'!AF35</f>
        <v/>
      </c>
      <c r="K37" s="102">
        <f>'Monthly Model'!V35</f>
        <v/>
      </c>
      <c r="L37" s="102">
        <f>'Monthly Model'!AI35</f>
        <v/>
      </c>
      <c r="M37" s="102">
        <f>'Monthly Model'!AJ35</f>
        <v/>
      </c>
      <c r="N37" s="112">
        <f>'Monthly Model'!AC35</f>
        <v/>
      </c>
      <c r="O37" s="112">
        <f>'Monthly Model'!AD35</f>
        <v/>
      </c>
      <c r="P37" s="104">
        <f>'Monthly Model'!AL35</f>
        <v/>
      </c>
    </row>
    <row r="38" ht="15.75" customHeight="1" s="85">
      <c r="A38" s="46" t="n">
        <v>33</v>
      </c>
      <c r="B38" s="108">
        <f>'Monthly Model'!B36</f>
        <v/>
      </c>
      <c r="C38" s="47">
        <f>'Monthly Model'!C36</f>
        <v/>
      </c>
      <c r="D38" s="109">
        <f>'Monthly Model'!F36</f>
        <v/>
      </c>
      <c r="E38" s="40">
        <f>'Monthly Model'!I36</f>
        <v/>
      </c>
      <c r="F38" s="40">
        <f>'Monthly Model'!M36</f>
        <v/>
      </c>
      <c r="G38" s="40">
        <f>'Monthly Model'!U36</f>
        <v/>
      </c>
      <c r="H38" s="110">
        <f>'Monthly Model'!AE36</f>
        <v/>
      </c>
      <c r="I38" s="111">
        <f>'Monthly Model'!AG36</f>
        <v/>
      </c>
      <c r="J38" s="102">
        <f>'Monthly Model'!AF36</f>
        <v/>
      </c>
      <c r="K38" s="102">
        <f>'Monthly Model'!V36</f>
        <v/>
      </c>
      <c r="L38" s="102">
        <f>'Monthly Model'!AI36</f>
        <v/>
      </c>
      <c r="M38" s="102">
        <f>'Monthly Model'!AJ36</f>
        <v/>
      </c>
      <c r="N38" s="112">
        <f>'Monthly Model'!AC36</f>
        <v/>
      </c>
      <c r="O38" s="112">
        <f>'Monthly Model'!AD36</f>
        <v/>
      </c>
      <c r="P38" s="104">
        <f>'Monthly Model'!AL36</f>
        <v/>
      </c>
    </row>
    <row r="39" ht="15.75" customHeight="1" s="85">
      <c r="A39" s="58" t="n">
        <v>34</v>
      </c>
      <c r="B39" s="113">
        <f>'Monthly Model'!B37</f>
        <v/>
      </c>
      <c r="C39" s="66">
        <f>'Monthly Model'!C37</f>
        <v/>
      </c>
      <c r="D39" s="114">
        <f>'Monthly Model'!F37</f>
        <v/>
      </c>
      <c r="E39" s="68">
        <f>'Monthly Model'!I37</f>
        <v/>
      </c>
      <c r="F39" s="68">
        <f>'Monthly Model'!M37</f>
        <v/>
      </c>
      <c r="G39" s="68">
        <f>'Monthly Model'!U37</f>
        <v/>
      </c>
      <c r="H39" s="110">
        <f>'Monthly Model'!AE37</f>
        <v/>
      </c>
      <c r="I39" s="111">
        <f>'Monthly Model'!AG37</f>
        <v/>
      </c>
      <c r="J39" s="102">
        <f>'Monthly Model'!AF37</f>
        <v/>
      </c>
      <c r="K39" s="102">
        <f>'Monthly Model'!V37</f>
        <v/>
      </c>
      <c r="L39" s="102">
        <f>'Monthly Model'!AI37</f>
        <v/>
      </c>
      <c r="M39" s="102">
        <f>'Monthly Model'!AJ37</f>
        <v/>
      </c>
      <c r="N39" s="112">
        <f>'Monthly Model'!AC37</f>
        <v/>
      </c>
      <c r="O39" s="112">
        <f>'Monthly Model'!AD37</f>
        <v/>
      </c>
      <c r="P39" s="104">
        <f>'Monthly Model'!AL37</f>
        <v/>
      </c>
    </row>
    <row r="40" ht="15.75" customHeight="1" s="85">
      <c r="A40" s="46" t="n">
        <v>35</v>
      </c>
      <c r="B40" s="108">
        <f>'Monthly Model'!B38</f>
        <v/>
      </c>
      <c r="C40" s="47">
        <f>'Monthly Model'!C38</f>
        <v/>
      </c>
      <c r="D40" s="109">
        <f>'Monthly Model'!F38</f>
        <v/>
      </c>
      <c r="E40" s="40">
        <f>'Monthly Model'!I38</f>
        <v/>
      </c>
      <c r="F40" s="40">
        <f>'Monthly Model'!M38</f>
        <v/>
      </c>
      <c r="G40" s="40">
        <f>'Monthly Model'!U38</f>
        <v/>
      </c>
      <c r="H40" s="110">
        <f>'Monthly Model'!AE38</f>
        <v/>
      </c>
      <c r="I40" s="111">
        <f>'Monthly Model'!AG38</f>
        <v/>
      </c>
      <c r="J40" s="102">
        <f>'Monthly Model'!AF38</f>
        <v/>
      </c>
      <c r="K40" s="102">
        <f>'Monthly Model'!V38</f>
        <v/>
      </c>
      <c r="L40" s="102">
        <f>'Monthly Model'!AI38</f>
        <v/>
      </c>
      <c r="M40" s="102">
        <f>'Monthly Model'!AJ38</f>
        <v/>
      </c>
      <c r="N40" s="112">
        <f>'Monthly Model'!AC38</f>
        <v/>
      </c>
      <c r="O40" s="112">
        <f>'Monthly Model'!AD38</f>
        <v/>
      </c>
      <c r="P40" s="104">
        <f>'Monthly Model'!AL38</f>
        <v/>
      </c>
    </row>
    <row r="41" ht="15.75" customHeight="1" s="85">
      <c r="A41" s="58" t="n">
        <v>36</v>
      </c>
      <c r="B41" s="113">
        <f>'Monthly Model'!B39</f>
        <v/>
      </c>
      <c r="C41" s="66">
        <f>'Monthly Model'!C39</f>
        <v/>
      </c>
      <c r="D41" s="114">
        <f>'Monthly Model'!F39</f>
        <v/>
      </c>
      <c r="E41" s="68">
        <f>'Monthly Model'!I39</f>
        <v/>
      </c>
      <c r="F41" s="68">
        <f>'Monthly Model'!M39</f>
        <v/>
      </c>
      <c r="G41" s="68">
        <f>'Monthly Model'!U39</f>
        <v/>
      </c>
      <c r="H41" s="110">
        <f>'Monthly Model'!AE39</f>
        <v/>
      </c>
      <c r="I41" s="111">
        <f>'Monthly Model'!AG39</f>
        <v/>
      </c>
      <c r="J41" s="102">
        <f>'Monthly Model'!AF39</f>
        <v/>
      </c>
      <c r="K41" s="102">
        <f>'Monthly Model'!V39</f>
        <v/>
      </c>
      <c r="L41" s="102">
        <f>'Monthly Model'!AI39</f>
        <v/>
      </c>
      <c r="M41" s="102">
        <f>'Monthly Model'!AJ39</f>
        <v/>
      </c>
      <c r="N41" s="112">
        <f>'Monthly Model'!AC39</f>
        <v/>
      </c>
      <c r="O41" s="112">
        <f>'Monthly Model'!AD39</f>
        <v/>
      </c>
      <c r="P41" s="104">
        <f>'Monthly Model'!AL39</f>
        <v/>
      </c>
    </row>
    <row r="42" ht="15.75" customHeight="1" s="85">
      <c r="A42" s="46" t="n">
        <v>37</v>
      </c>
      <c r="B42" s="108">
        <f>'Monthly Model'!B40</f>
        <v/>
      </c>
      <c r="C42" s="47">
        <f>'Monthly Model'!C40</f>
        <v/>
      </c>
      <c r="D42" s="109">
        <f>'Monthly Model'!F40</f>
        <v/>
      </c>
      <c r="E42" s="40">
        <f>'Monthly Model'!I40</f>
        <v/>
      </c>
      <c r="F42" s="40">
        <f>'Monthly Model'!M40</f>
        <v/>
      </c>
      <c r="G42" s="40">
        <f>'Monthly Model'!U40</f>
        <v/>
      </c>
      <c r="H42" s="110">
        <f>'Monthly Model'!AE40</f>
        <v/>
      </c>
      <c r="I42" s="111">
        <f>'Monthly Model'!AG40</f>
        <v/>
      </c>
      <c r="J42" s="102">
        <f>'Monthly Model'!AF40</f>
        <v/>
      </c>
      <c r="K42" s="102">
        <f>'Monthly Model'!V40</f>
        <v/>
      </c>
      <c r="L42" s="102">
        <f>'Monthly Model'!AI40</f>
        <v/>
      </c>
      <c r="M42" s="102">
        <f>'Monthly Model'!AJ40</f>
        <v/>
      </c>
      <c r="N42" s="112">
        <f>'Monthly Model'!AC40</f>
        <v/>
      </c>
      <c r="O42" s="112">
        <f>'Monthly Model'!AD40</f>
        <v/>
      </c>
      <c r="P42" s="104">
        <f>'Monthly Model'!AL40</f>
        <v/>
      </c>
    </row>
    <row r="43" ht="15.75" customHeight="1" s="85">
      <c r="A43" s="58" t="n">
        <v>38</v>
      </c>
      <c r="B43" s="113">
        <f>'Monthly Model'!B41</f>
        <v/>
      </c>
      <c r="C43" s="66">
        <f>'Monthly Model'!C41</f>
        <v/>
      </c>
      <c r="D43" s="114">
        <f>'Monthly Model'!F41</f>
        <v/>
      </c>
      <c r="E43" s="68">
        <f>'Monthly Model'!I41</f>
        <v/>
      </c>
      <c r="F43" s="68">
        <f>'Monthly Model'!M41</f>
        <v/>
      </c>
      <c r="G43" s="68">
        <f>'Monthly Model'!U41</f>
        <v/>
      </c>
      <c r="H43" s="110">
        <f>'Monthly Model'!AE41</f>
        <v/>
      </c>
      <c r="I43" s="111">
        <f>'Monthly Model'!AG41</f>
        <v/>
      </c>
      <c r="J43" s="102">
        <f>'Monthly Model'!AF41</f>
        <v/>
      </c>
      <c r="K43" s="102">
        <f>'Monthly Model'!V41</f>
        <v/>
      </c>
      <c r="L43" s="102">
        <f>'Monthly Model'!AI41</f>
        <v/>
      </c>
      <c r="M43" s="102">
        <f>'Monthly Model'!AJ41</f>
        <v/>
      </c>
      <c r="N43" s="112">
        <f>'Monthly Model'!AC41</f>
        <v/>
      </c>
      <c r="O43" s="112">
        <f>'Monthly Model'!AD41</f>
        <v/>
      </c>
      <c r="P43" s="104">
        <f>'Monthly Model'!AL41</f>
        <v/>
      </c>
    </row>
    <row r="44" ht="15.75" customHeight="1" s="85">
      <c r="A44" s="46" t="n">
        <v>39</v>
      </c>
      <c r="B44" s="108">
        <f>'Monthly Model'!B42</f>
        <v/>
      </c>
      <c r="C44" s="47">
        <f>'Monthly Model'!C42</f>
        <v/>
      </c>
      <c r="D44" s="109">
        <f>'Monthly Model'!F42</f>
        <v/>
      </c>
      <c r="E44" s="40">
        <f>'Monthly Model'!I42</f>
        <v/>
      </c>
      <c r="F44" s="40">
        <f>'Monthly Model'!M42</f>
        <v/>
      </c>
      <c r="G44" s="40">
        <f>'Monthly Model'!U42</f>
        <v/>
      </c>
      <c r="H44" s="110">
        <f>'Monthly Model'!AE42</f>
        <v/>
      </c>
      <c r="I44" s="111">
        <f>'Monthly Model'!AG42</f>
        <v/>
      </c>
      <c r="J44" s="102">
        <f>'Monthly Model'!AF42</f>
        <v/>
      </c>
      <c r="K44" s="102">
        <f>'Monthly Model'!V42</f>
        <v/>
      </c>
      <c r="L44" s="102">
        <f>'Monthly Model'!AI42</f>
        <v/>
      </c>
      <c r="M44" s="102">
        <f>'Monthly Model'!AJ42</f>
        <v/>
      </c>
      <c r="N44" s="112">
        <f>'Monthly Model'!AC42</f>
        <v/>
      </c>
      <c r="O44" s="112">
        <f>'Monthly Model'!AD42</f>
        <v/>
      </c>
      <c r="P44" s="104">
        <f>'Monthly Model'!AL42</f>
        <v/>
      </c>
    </row>
    <row r="45" ht="15.75" customHeight="1" s="85">
      <c r="A45" s="58" t="n">
        <v>40</v>
      </c>
      <c r="B45" s="113">
        <f>'Monthly Model'!B43</f>
        <v/>
      </c>
      <c r="C45" s="66">
        <f>'Monthly Model'!C43</f>
        <v/>
      </c>
      <c r="D45" s="114">
        <f>'Monthly Model'!F43</f>
        <v/>
      </c>
      <c r="E45" s="68">
        <f>'Monthly Model'!I43</f>
        <v/>
      </c>
      <c r="F45" s="68">
        <f>'Monthly Model'!M43</f>
        <v/>
      </c>
      <c r="G45" s="68">
        <f>'Monthly Model'!U43</f>
        <v/>
      </c>
      <c r="H45" s="110">
        <f>'Monthly Model'!AE43</f>
        <v/>
      </c>
      <c r="I45" s="111">
        <f>'Monthly Model'!AG43</f>
        <v/>
      </c>
      <c r="J45" s="102">
        <f>'Monthly Model'!AF43</f>
        <v/>
      </c>
      <c r="K45" s="102">
        <f>'Monthly Model'!V43</f>
        <v/>
      </c>
      <c r="L45" s="102">
        <f>'Monthly Model'!AI43</f>
        <v/>
      </c>
      <c r="M45" s="102">
        <f>'Monthly Model'!AJ43</f>
        <v/>
      </c>
      <c r="N45" s="112">
        <f>'Monthly Model'!AC43</f>
        <v/>
      </c>
      <c r="O45" s="112">
        <f>'Monthly Model'!AD43</f>
        <v/>
      </c>
      <c r="P45" s="104">
        <f>'Monthly Model'!AL43</f>
        <v/>
      </c>
    </row>
    <row r="46" ht="15.75" customHeight="1" s="85">
      <c r="A46" s="46" t="n">
        <v>41</v>
      </c>
      <c r="B46" s="108">
        <f>'Monthly Model'!B44</f>
        <v/>
      </c>
      <c r="C46" s="47">
        <f>'Monthly Model'!C44</f>
        <v/>
      </c>
      <c r="D46" s="109">
        <f>'Monthly Model'!F44</f>
        <v/>
      </c>
      <c r="E46" s="40">
        <f>'Monthly Model'!I44</f>
        <v/>
      </c>
      <c r="F46" s="40">
        <f>'Monthly Model'!M44</f>
        <v/>
      </c>
      <c r="G46" s="40">
        <f>'Monthly Model'!U44</f>
        <v/>
      </c>
      <c r="H46" s="110">
        <f>'Monthly Model'!AE44</f>
        <v/>
      </c>
      <c r="I46" s="111">
        <f>'Monthly Model'!AG44</f>
        <v/>
      </c>
      <c r="J46" s="102">
        <f>'Monthly Model'!AF44</f>
        <v/>
      </c>
      <c r="K46" s="102">
        <f>'Monthly Model'!V44</f>
        <v/>
      </c>
      <c r="L46" s="102">
        <f>'Monthly Model'!AI44</f>
        <v/>
      </c>
      <c r="M46" s="102">
        <f>'Monthly Model'!AJ44</f>
        <v/>
      </c>
      <c r="N46" s="112">
        <f>'Monthly Model'!AC44</f>
        <v/>
      </c>
      <c r="O46" s="112">
        <f>'Monthly Model'!AD44</f>
        <v/>
      </c>
      <c r="P46" s="104">
        <f>'Monthly Model'!AL44</f>
        <v/>
      </c>
    </row>
    <row r="47" ht="15.75" customHeight="1" s="85">
      <c r="A47" s="58" t="n">
        <v>42</v>
      </c>
      <c r="B47" s="113">
        <f>'Monthly Model'!B45</f>
        <v/>
      </c>
      <c r="C47" s="66">
        <f>'Monthly Model'!C45</f>
        <v/>
      </c>
      <c r="D47" s="114">
        <f>'Monthly Model'!F45</f>
        <v/>
      </c>
      <c r="E47" s="68">
        <f>'Monthly Model'!I45</f>
        <v/>
      </c>
      <c r="F47" s="68">
        <f>'Monthly Model'!M45</f>
        <v/>
      </c>
      <c r="G47" s="68">
        <f>'Monthly Model'!U45</f>
        <v/>
      </c>
      <c r="H47" s="110">
        <f>'Monthly Model'!AE45</f>
        <v/>
      </c>
      <c r="I47" s="111">
        <f>'Monthly Model'!AG45</f>
        <v/>
      </c>
      <c r="J47" s="102">
        <f>'Monthly Model'!AF45</f>
        <v/>
      </c>
      <c r="K47" s="102">
        <f>'Monthly Model'!V45</f>
        <v/>
      </c>
      <c r="L47" s="102">
        <f>'Monthly Model'!AI45</f>
        <v/>
      </c>
      <c r="M47" s="102">
        <f>'Monthly Model'!AJ45</f>
        <v/>
      </c>
      <c r="N47" s="112">
        <f>'Monthly Model'!AC45</f>
        <v/>
      </c>
      <c r="O47" s="112">
        <f>'Monthly Model'!AD45</f>
        <v/>
      </c>
      <c r="P47" s="104">
        <f>'Monthly Model'!AL45</f>
        <v/>
      </c>
    </row>
    <row r="48" ht="15.75" customHeight="1" s="85">
      <c r="A48" s="46" t="n">
        <v>43</v>
      </c>
      <c r="B48" s="108">
        <f>'Monthly Model'!B46</f>
        <v/>
      </c>
      <c r="C48" s="47">
        <f>'Monthly Model'!C46</f>
        <v/>
      </c>
      <c r="D48" s="109">
        <f>'Monthly Model'!F46</f>
        <v/>
      </c>
      <c r="E48" s="40">
        <f>'Monthly Model'!I46</f>
        <v/>
      </c>
      <c r="F48" s="40">
        <f>'Monthly Model'!M46</f>
        <v/>
      </c>
      <c r="G48" s="40">
        <f>'Monthly Model'!U46</f>
        <v/>
      </c>
      <c r="H48" s="110">
        <f>'Monthly Model'!AE46</f>
        <v/>
      </c>
      <c r="I48" s="111">
        <f>'Monthly Model'!AG46</f>
        <v/>
      </c>
      <c r="J48" s="102">
        <f>'Monthly Model'!AF46</f>
        <v/>
      </c>
      <c r="K48" s="102">
        <f>'Monthly Model'!V46</f>
        <v/>
      </c>
      <c r="L48" s="102">
        <f>'Monthly Model'!AI46</f>
        <v/>
      </c>
      <c r="M48" s="102">
        <f>'Monthly Model'!AJ46</f>
        <v/>
      </c>
      <c r="N48" s="112">
        <f>'Monthly Model'!AC46</f>
        <v/>
      </c>
      <c r="O48" s="112">
        <f>'Monthly Model'!AD46</f>
        <v/>
      </c>
      <c r="P48" s="104">
        <f>'Monthly Model'!AL46</f>
        <v/>
      </c>
    </row>
    <row r="49" ht="15.75" customHeight="1" s="85">
      <c r="A49" s="58" t="n">
        <v>44</v>
      </c>
      <c r="B49" s="113">
        <f>'Monthly Model'!B47</f>
        <v/>
      </c>
      <c r="C49" s="66">
        <f>'Monthly Model'!C47</f>
        <v/>
      </c>
      <c r="D49" s="114">
        <f>'Monthly Model'!F47</f>
        <v/>
      </c>
      <c r="E49" s="68">
        <f>'Monthly Model'!I47</f>
        <v/>
      </c>
      <c r="F49" s="68">
        <f>'Monthly Model'!M47</f>
        <v/>
      </c>
      <c r="G49" s="68">
        <f>'Monthly Model'!U47</f>
        <v/>
      </c>
      <c r="H49" s="110">
        <f>'Monthly Model'!AE47</f>
        <v/>
      </c>
      <c r="I49" s="111">
        <f>'Monthly Model'!AG47</f>
        <v/>
      </c>
      <c r="J49" s="102">
        <f>'Monthly Model'!AF47</f>
        <v/>
      </c>
      <c r="K49" s="102">
        <f>'Monthly Model'!V47</f>
        <v/>
      </c>
      <c r="L49" s="102">
        <f>'Monthly Model'!AI47</f>
        <v/>
      </c>
      <c r="M49" s="102">
        <f>'Monthly Model'!AJ47</f>
        <v/>
      </c>
      <c r="N49" s="112">
        <f>'Monthly Model'!AC47</f>
        <v/>
      </c>
      <c r="O49" s="112">
        <f>'Monthly Model'!AD47</f>
        <v/>
      </c>
      <c r="P49" s="104">
        <f>'Monthly Model'!AL47</f>
        <v/>
      </c>
    </row>
    <row r="50" ht="15.75" customHeight="1" s="85">
      <c r="A50" s="46" t="n">
        <v>45</v>
      </c>
      <c r="B50" s="108">
        <f>'Monthly Model'!B48</f>
        <v/>
      </c>
      <c r="C50" s="47">
        <f>'Monthly Model'!C48</f>
        <v/>
      </c>
      <c r="D50" s="109">
        <f>'Monthly Model'!F48</f>
        <v/>
      </c>
      <c r="E50" s="40">
        <f>'Monthly Model'!I48</f>
        <v/>
      </c>
      <c r="F50" s="40">
        <f>'Monthly Model'!M48</f>
        <v/>
      </c>
      <c r="G50" s="40">
        <f>'Monthly Model'!U48</f>
        <v/>
      </c>
      <c r="H50" s="110">
        <f>'Monthly Model'!AE48</f>
        <v/>
      </c>
      <c r="I50" s="111">
        <f>'Monthly Model'!AG48</f>
        <v/>
      </c>
      <c r="J50" s="102">
        <f>'Monthly Model'!AF48</f>
        <v/>
      </c>
      <c r="K50" s="102">
        <f>'Monthly Model'!V48</f>
        <v/>
      </c>
      <c r="L50" s="102">
        <f>'Monthly Model'!AI48</f>
        <v/>
      </c>
      <c r="M50" s="102">
        <f>'Monthly Model'!AJ48</f>
        <v/>
      </c>
      <c r="N50" s="112">
        <f>'Monthly Model'!AC48</f>
        <v/>
      </c>
      <c r="O50" s="112">
        <f>'Monthly Model'!AD48</f>
        <v/>
      </c>
      <c r="P50" s="104">
        <f>'Monthly Model'!AL48</f>
        <v/>
      </c>
    </row>
    <row r="51" ht="15.75" customHeight="1" s="85">
      <c r="A51" s="58" t="n">
        <v>46</v>
      </c>
      <c r="B51" s="113">
        <f>'Monthly Model'!B49</f>
        <v/>
      </c>
      <c r="C51" s="66">
        <f>'Monthly Model'!C49</f>
        <v/>
      </c>
      <c r="D51" s="114">
        <f>'Monthly Model'!F49</f>
        <v/>
      </c>
      <c r="E51" s="68">
        <f>'Monthly Model'!I49</f>
        <v/>
      </c>
      <c r="F51" s="68">
        <f>'Monthly Model'!M49</f>
        <v/>
      </c>
      <c r="G51" s="68">
        <f>'Monthly Model'!U49</f>
        <v/>
      </c>
      <c r="H51" s="110">
        <f>'Monthly Model'!AE49</f>
        <v/>
      </c>
      <c r="I51" s="111">
        <f>'Monthly Model'!AG49</f>
        <v/>
      </c>
      <c r="J51" s="102">
        <f>'Monthly Model'!AF49</f>
        <v/>
      </c>
      <c r="K51" s="102">
        <f>'Monthly Model'!V49</f>
        <v/>
      </c>
      <c r="L51" s="102">
        <f>'Monthly Model'!AI49</f>
        <v/>
      </c>
      <c r="M51" s="102">
        <f>'Monthly Model'!AJ49</f>
        <v/>
      </c>
      <c r="N51" s="112">
        <f>'Monthly Model'!AC49</f>
        <v/>
      </c>
      <c r="O51" s="112">
        <f>'Monthly Model'!AD49</f>
        <v/>
      </c>
      <c r="P51" s="104">
        <f>'Monthly Model'!AL49</f>
        <v/>
      </c>
    </row>
    <row r="52" ht="15.75" customHeight="1" s="85">
      <c r="A52" s="46" t="n">
        <v>47</v>
      </c>
      <c r="B52" s="108">
        <f>'Monthly Model'!B50</f>
        <v/>
      </c>
      <c r="C52" s="47">
        <f>'Monthly Model'!C50</f>
        <v/>
      </c>
      <c r="D52" s="109">
        <f>'Monthly Model'!F50</f>
        <v/>
      </c>
      <c r="E52" s="40">
        <f>'Monthly Model'!I50</f>
        <v/>
      </c>
      <c r="F52" s="40">
        <f>'Monthly Model'!M50</f>
        <v/>
      </c>
      <c r="G52" s="40">
        <f>'Monthly Model'!U50</f>
        <v/>
      </c>
      <c r="H52" s="110">
        <f>'Monthly Model'!AE50</f>
        <v/>
      </c>
      <c r="I52" s="111">
        <f>'Monthly Model'!AG50</f>
        <v/>
      </c>
      <c r="J52" s="102">
        <f>'Monthly Model'!AF50</f>
        <v/>
      </c>
      <c r="K52" s="102">
        <f>'Monthly Model'!V50</f>
        <v/>
      </c>
      <c r="L52" s="102">
        <f>'Monthly Model'!AI50</f>
        <v/>
      </c>
      <c r="M52" s="102">
        <f>'Monthly Model'!AJ50</f>
        <v/>
      </c>
      <c r="N52" s="112">
        <f>'Monthly Model'!AC50</f>
        <v/>
      </c>
      <c r="O52" s="112">
        <f>'Monthly Model'!AD50</f>
        <v/>
      </c>
      <c r="P52" s="104">
        <f>'Monthly Model'!AL50</f>
        <v/>
      </c>
    </row>
    <row r="53" ht="15.75" customHeight="1" s="85">
      <c r="A53" s="58" t="n">
        <v>48</v>
      </c>
      <c r="B53" s="113">
        <f>'Monthly Model'!B51</f>
        <v/>
      </c>
      <c r="C53" s="66">
        <f>'Monthly Model'!C51</f>
        <v/>
      </c>
      <c r="D53" s="114">
        <f>'Monthly Model'!F51</f>
        <v/>
      </c>
      <c r="E53" s="68">
        <f>'Monthly Model'!I51</f>
        <v/>
      </c>
      <c r="F53" s="68">
        <f>'Monthly Model'!M51</f>
        <v/>
      </c>
      <c r="G53" s="68">
        <f>'Monthly Model'!U51</f>
        <v/>
      </c>
      <c r="H53" s="110">
        <f>'Monthly Model'!AE51</f>
        <v/>
      </c>
      <c r="I53" s="111">
        <f>'Monthly Model'!AG51</f>
        <v/>
      </c>
      <c r="J53" s="102">
        <f>'Monthly Model'!AF51</f>
        <v/>
      </c>
      <c r="K53" s="102">
        <f>'Monthly Model'!V51</f>
        <v/>
      </c>
      <c r="L53" s="102">
        <f>'Monthly Model'!AI51</f>
        <v/>
      </c>
      <c r="M53" s="102">
        <f>'Monthly Model'!AJ51</f>
        <v/>
      </c>
      <c r="N53" s="112">
        <f>'Monthly Model'!AC51</f>
        <v/>
      </c>
      <c r="O53" s="112">
        <f>'Monthly Model'!AD51</f>
        <v/>
      </c>
      <c r="P53" s="104">
        <f>'Monthly Model'!AL51</f>
        <v/>
      </c>
    </row>
    <row r="54" ht="15.75" customHeight="1" s="85">
      <c r="A54" s="46" t="n">
        <v>49</v>
      </c>
      <c r="B54" s="108">
        <f>'Monthly Model'!B52</f>
        <v/>
      </c>
      <c r="C54" s="47">
        <f>'Monthly Model'!C52</f>
        <v/>
      </c>
      <c r="D54" s="109">
        <f>'Monthly Model'!F52</f>
        <v/>
      </c>
      <c r="E54" s="40">
        <f>'Monthly Model'!I52</f>
        <v/>
      </c>
      <c r="F54" s="40">
        <f>'Monthly Model'!M52</f>
        <v/>
      </c>
      <c r="G54" s="40">
        <f>'Monthly Model'!U52</f>
        <v/>
      </c>
      <c r="H54" s="110">
        <f>'Monthly Model'!AE52</f>
        <v/>
      </c>
      <c r="I54" s="111">
        <f>'Monthly Model'!AG52</f>
        <v/>
      </c>
      <c r="J54" s="102">
        <f>'Monthly Model'!AF52</f>
        <v/>
      </c>
      <c r="K54" s="102">
        <f>'Monthly Model'!V52</f>
        <v/>
      </c>
      <c r="L54" s="102">
        <f>'Monthly Model'!AI52</f>
        <v/>
      </c>
      <c r="M54" s="102">
        <f>'Monthly Model'!AJ52</f>
        <v/>
      </c>
      <c r="N54" s="112">
        <f>'Monthly Model'!AC52</f>
        <v/>
      </c>
      <c r="O54" s="112">
        <f>'Monthly Model'!AD52</f>
        <v/>
      </c>
      <c r="P54" s="104">
        <f>'Monthly Model'!AL52</f>
        <v/>
      </c>
    </row>
    <row r="55" ht="15.75" customHeight="1" s="85">
      <c r="A55" s="58" t="n">
        <v>50</v>
      </c>
      <c r="B55" s="113">
        <f>'Monthly Model'!B53</f>
        <v/>
      </c>
      <c r="C55" s="66">
        <f>'Monthly Model'!C53</f>
        <v/>
      </c>
      <c r="D55" s="114">
        <f>'Monthly Model'!F53</f>
        <v/>
      </c>
      <c r="E55" s="68">
        <f>'Monthly Model'!I53</f>
        <v/>
      </c>
      <c r="F55" s="68">
        <f>'Monthly Model'!M53</f>
        <v/>
      </c>
      <c r="G55" s="68">
        <f>'Monthly Model'!U53</f>
        <v/>
      </c>
      <c r="H55" s="110">
        <f>'Monthly Model'!AE53</f>
        <v/>
      </c>
      <c r="I55" s="111">
        <f>'Monthly Model'!AG53</f>
        <v/>
      </c>
      <c r="J55" s="102">
        <f>'Monthly Model'!AF53</f>
        <v/>
      </c>
      <c r="K55" s="102">
        <f>'Monthly Model'!V53</f>
        <v/>
      </c>
      <c r="L55" s="102">
        <f>'Monthly Model'!AI53</f>
        <v/>
      </c>
      <c r="M55" s="102">
        <f>'Monthly Model'!AJ53</f>
        <v/>
      </c>
      <c r="N55" s="112">
        <f>'Monthly Model'!AC53</f>
        <v/>
      </c>
      <c r="O55" s="112">
        <f>'Monthly Model'!AD53</f>
        <v/>
      </c>
      <c r="P55" s="104">
        <f>'Monthly Model'!AL53</f>
        <v/>
      </c>
    </row>
    <row r="56" ht="15.75" customHeight="1" s="85">
      <c r="A56" s="46" t="n">
        <v>51</v>
      </c>
      <c r="B56" s="108">
        <f>'Monthly Model'!B54</f>
        <v/>
      </c>
      <c r="C56" s="47">
        <f>'Monthly Model'!C54</f>
        <v/>
      </c>
      <c r="D56" s="109">
        <f>'Monthly Model'!F54</f>
        <v/>
      </c>
      <c r="E56" s="40">
        <f>'Monthly Model'!I54</f>
        <v/>
      </c>
      <c r="F56" s="40">
        <f>'Monthly Model'!M54</f>
        <v/>
      </c>
      <c r="G56" s="40">
        <f>'Monthly Model'!U54</f>
        <v/>
      </c>
      <c r="H56" s="110">
        <f>'Monthly Model'!AE54</f>
        <v/>
      </c>
      <c r="I56" s="111">
        <f>'Monthly Model'!AG54</f>
        <v/>
      </c>
      <c r="J56" s="102">
        <f>'Monthly Model'!AF54</f>
        <v/>
      </c>
      <c r="K56" s="102">
        <f>'Monthly Model'!V54</f>
        <v/>
      </c>
      <c r="L56" s="102">
        <f>'Monthly Model'!AI54</f>
        <v/>
      </c>
      <c r="M56" s="102">
        <f>'Monthly Model'!AJ54</f>
        <v/>
      </c>
      <c r="N56" s="112">
        <f>'Monthly Model'!AC54</f>
        <v/>
      </c>
      <c r="O56" s="112">
        <f>'Monthly Model'!AD54</f>
        <v/>
      </c>
      <c r="P56" s="104">
        <f>'Monthly Model'!AL54</f>
        <v/>
      </c>
    </row>
    <row r="57" ht="15.75" customHeight="1" s="85">
      <c r="A57" s="58" t="n">
        <v>52</v>
      </c>
      <c r="B57" s="113">
        <f>'Monthly Model'!B55</f>
        <v/>
      </c>
      <c r="C57" s="66">
        <f>'Monthly Model'!C55</f>
        <v/>
      </c>
      <c r="D57" s="114">
        <f>'Monthly Model'!F55</f>
        <v/>
      </c>
      <c r="E57" s="68">
        <f>'Monthly Model'!I55</f>
        <v/>
      </c>
      <c r="F57" s="68">
        <f>'Monthly Model'!M55</f>
        <v/>
      </c>
      <c r="G57" s="68">
        <f>'Monthly Model'!U55</f>
        <v/>
      </c>
      <c r="H57" s="110">
        <f>'Monthly Model'!AE55</f>
        <v/>
      </c>
      <c r="I57" s="111">
        <f>'Monthly Model'!AG55</f>
        <v/>
      </c>
      <c r="J57" s="102">
        <f>'Monthly Model'!AF55</f>
        <v/>
      </c>
      <c r="K57" s="102">
        <f>'Monthly Model'!V55</f>
        <v/>
      </c>
      <c r="L57" s="102">
        <f>'Monthly Model'!AI55</f>
        <v/>
      </c>
      <c r="M57" s="102">
        <f>'Monthly Model'!AJ55</f>
        <v/>
      </c>
      <c r="N57" s="112">
        <f>'Monthly Model'!AC55</f>
        <v/>
      </c>
      <c r="O57" s="112">
        <f>'Monthly Model'!AD55</f>
        <v/>
      </c>
      <c r="P57" s="104">
        <f>'Monthly Model'!AL55</f>
        <v/>
      </c>
    </row>
    <row r="58" ht="15.75" customHeight="1" s="85">
      <c r="A58" s="46" t="n">
        <v>53</v>
      </c>
      <c r="B58" s="108">
        <f>'Monthly Model'!B56</f>
        <v/>
      </c>
      <c r="C58" s="47">
        <f>'Monthly Model'!C56</f>
        <v/>
      </c>
      <c r="D58" s="109">
        <f>'Monthly Model'!F56</f>
        <v/>
      </c>
      <c r="E58" s="40">
        <f>'Monthly Model'!I56</f>
        <v/>
      </c>
      <c r="F58" s="40">
        <f>'Monthly Model'!M56</f>
        <v/>
      </c>
      <c r="G58" s="40">
        <f>'Monthly Model'!U56</f>
        <v/>
      </c>
      <c r="H58" s="110">
        <f>'Monthly Model'!AE56</f>
        <v/>
      </c>
      <c r="I58" s="111">
        <f>'Monthly Model'!AG56</f>
        <v/>
      </c>
      <c r="J58" s="102">
        <f>'Monthly Model'!AF56</f>
        <v/>
      </c>
      <c r="K58" s="102">
        <f>'Monthly Model'!V56</f>
        <v/>
      </c>
      <c r="L58" s="102">
        <f>'Monthly Model'!AI56</f>
        <v/>
      </c>
      <c r="M58" s="102">
        <f>'Monthly Model'!AJ56</f>
        <v/>
      </c>
      <c r="N58" s="112">
        <f>'Monthly Model'!AC56</f>
        <v/>
      </c>
      <c r="O58" s="112">
        <f>'Monthly Model'!AD56</f>
        <v/>
      </c>
      <c r="P58" s="104">
        <f>'Monthly Model'!AL56</f>
        <v/>
      </c>
    </row>
    <row r="59" ht="15.75" customHeight="1" s="85">
      <c r="A59" s="58" t="n">
        <v>54</v>
      </c>
      <c r="B59" s="113">
        <f>'Monthly Model'!B57</f>
        <v/>
      </c>
      <c r="C59" s="66">
        <f>'Monthly Model'!C57</f>
        <v/>
      </c>
      <c r="D59" s="114">
        <f>'Monthly Model'!F57</f>
        <v/>
      </c>
      <c r="E59" s="68">
        <f>'Monthly Model'!I57</f>
        <v/>
      </c>
      <c r="F59" s="68">
        <f>'Monthly Model'!M57</f>
        <v/>
      </c>
      <c r="G59" s="110">
        <f>'Monthly Model'!U57</f>
        <v/>
      </c>
      <c r="H59" s="110">
        <f>'Monthly Model'!AE57</f>
        <v/>
      </c>
      <c r="I59" s="111">
        <f>'Monthly Model'!AG57</f>
        <v/>
      </c>
      <c r="J59" s="102">
        <f>'Monthly Model'!AF57</f>
        <v/>
      </c>
      <c r="K59" s="102">
        <f>'Monthly Model'!V57</f>
        <v/>
      </c>
      <c r="L59" s="102">
        <f>'Monthly Model'!AI57</f>
        <v/>
      </c>
      <c r="M59" s="102">
        <f>'Monthly Model'!AJ57</f>
        <v/>
      </c>
      <c r="N59" s="112">
        <f>'Monthly Model'!AC57</f>
        <v/>
      </c>
      <c r="O59" s="112">
        <f>'Monthly Model'!AD57</f>
        <v/>
      </c>
      <c r="P59" s="104">
        <f>'Monthly Model'!AL57</f>
        <v/>
      </c>
    </row>
    <row r="60" ht="15.75" customHeight="1" s="85">
      <c r="A60" s="46" t="n">
        <v>55</v>
      </c>
      <c r="B60" s="108">
        <f>'Monthly Model'!B58</f>
        <v/>
      </c>
      <c r="C60" s="47">
        <f>'Monthly Model'!C58</f>
        <v/>
      </c>
      <c r="D60" s="109">
        <f>'Monthly Model'!F58</f>
        <v/>
      </c>
      <c r="E60" s="40">
        <f>'Monthly Model'!I58</f>
        <v/>
      </c>
      <c r="F60" s="40">
        <f>'Monthly Model'!M58</f>
        <v/>
      </c>
      <c r="G60" s="40">
        <f>'Monthly Model'!U58</f>
        <v/>
      </c>
      <c r="H60" s="110">
        <f>'Monthly Model'!AE58</f>
        <v/>
      </c>
      <c r="I60" s="111">
        <f>'Monthly Model'!AG58</f>
        <v/>
      </c>
      <c r="J60" s="102">
        <f>'Monthly Model'!AF58</f>
        <v/>
      </c>
      <c r="K60" s="102">
        <f>'Monthly Model'!V58</f>
        <v/>
      </c>
      <c r="L60" s="102">
        <f>'Monthly Model'!AI58</f>
        <v/>
      </c>
      <c r="M60" s="102">
        <f>'Monthly Model'!AJ58</f>
        <v/>
      </c>
      <c r="N60" s="112">
        <f>'Monthly Model'!AC58</f>
        <v/>
      </c>
      <c r="O60" s="112">
        <f>'Monthly Model'!AD58</f>
        <v/>
      </c>
      <c r="P60" s="104">
        <f>'Monthly Model'!AL58</f>
        <v/>
      </c>
    </row>
    <row r="61" ht="15.75" customHeight="1" s="85">
      <c r="A61" s="58" t="n">
        <v>56</v>
      </c>
      <c r="B61" s="113">
        <f>'Monthly Model'!B59</f>
        <v/>
      </c>
      <c r="C61" s="66">
        <f>'Monthly Model'!C59</f>
        <v/>
      </c>
      <c r="D61" s="114">
        <f>'Monthly Model'!F59</f>
        <v/>
      </c>
      <c r="E61" s="68">
        <f>'Monthly Model'!I59</f>
        <v/>
      </c>
      <c r="F61" s="68">
        <f>'Monthly Model'!M59</f>
        <v/>
      </c>
      <c r="G61" s="68">
        <f>'Monthly Model'!U59</f>
        <v/>
      </c>
      <c r="H61" s="110">
        <f>'Monthly Model'!AE59</f>
        <v/>
      </c>
      <c r="I61" s="111">
        <f>'Monthly Model'!AG59</f>
        <v/>
      </c>
      <c r="J61" s="102">
        <f>'Monthly Model'!AF59</f>
        <v/>
      </c>
      <c r="K61" s="102">
        <f>'Monthly Model'!V59</f>
        <v/>
      </c>
      <c r="L61" s="102">
        <f>'Monthly Model'!AI59</f>
        <v/>
      </c>
      <c r="M61" s="102">
        <f>'Monthly Model'!AJ59</f>
        <v/>
      </c>
      <c r="N61" s="112">
        <f>'Monthly Model'!AC59</f>
        <v/>
      </c>
      <c r="O61" s="112">
        <f>'Monthly Model'!AD59</f>
        <v/>
      </c>
      <c r="P61" s="104">
        <f>'Monthly Model'!AL59</f>
        <v/>
      </c>
    </row>
    <row r="62" ht="15.75" customHeight="1" s="85">
      <c r="A62" s="46" t="n">
        <v>57</v>
      </c>
      <c r="B62" s="108">
        <f>'Monthly Model'!B60</f>
        <v/>
      </c>
      <c r="C62" s="47">
        <f>'Monthly Model'!C60</f>
        <v/>
      </c>
      <c r="D62" s="109">
        <f>'Monthly Model'!F60</f>
        <v/>
      </c>
      <c r="E62" s="40">
        <f>'Monthly Model'!I60</f>
        <v/>
      </c>
      <c r="F62" s="40">
        <f>'Monthly Model'!M60</f>
        <v/>
      </c>
      <c r="G62" s="40">
        <f>'Monthly Model'!U60</f>
        <v/>
      </c>
      <c r="H62" s="110">
        <f>'Monthly Model'!AE60</f>
        <v/>
      </c>
      <c r="I62" s="111">
        <f>'Monthly Model'!AG60</f>
        <v/>
      </c>
      <c r="J62" s="102">
        <f>'Monthly Model'!AF60</f>
        <v/>
      </c>
      <c r="K62" s="102">
        <f>'Monthly Model'!V60</f>
        <v/>
      </c>
      <c r="L62" s="102">
        <f>'Monthly Model'!AI60</f>
        <v/>
      </c>
      <c r="M62" s="102">
        <f>'Monthly Model'!AJ60</f>
        <v/>
      </c>
      <c r="N62" s="112">
        <f>'Monthly Model'!AC60</f>
        <v/>
      </c>
      <c r="O62" s="112">
        <f>'Monthly Model'!AD60</f>
        <v/>
      </c>
      <c r="P62" s="104">
        <f>'Monthly Model'!AL60</f>
        <v/>
      </c>
    </row>
    <row r="63" ht="15.75" customHeight="1" s="85">
      <c r="A63" s="58" t="n">
        <v>58</v>
      </c>
      <c r="B63" s="113">
        <f>'Monthly Model'!B61</f>
        <v/>
      </c>
      <c r="C63" s="66">
        <f>'Monthly Model'!C61</f>
        <v/>
      </c>
      <c r="D63" s="114">
        <f>'Monthly Model'!F61</f>
        <v/>
      </c>
      <c r="E63" s="68">
        <f>'Monthly Model'!I61</f>
        <v/>
      </c>
      <c r="F63" s="68">
        <f>'Monthly Model'!M61</f>
        <v/>
      </c>
      <c r="G63" s="68">
        <f>'Monthly Model'!U61</f>
        <v/>
      </c>
      <c r="H63" s="110">
        <f>'Monthly Model'!AE61</f>
        <v/>
      </c>
      <c r="I63" s="111">
        <f>'Monthly Model'!AG61</f>
        <v/>
      </c>
      <c r="J63" s="102">
        <f>'Monthly Model'!AF61</f>
        <v/>
      </c>
      <c r="K63" s="102">
        <f>'Monthly Model'!V61</f>
        <v/>
      </c>
      <c r="L63" s="102">
        <f>'Monthly Model'!AI61</f>
        <v/>
      </c>
      <c r="M63" s="102">
        <f>'Monthly Model'!AJ61</f>
        <v/>
      </c>
      <c r="N63" s="112">
        <f>'Monthly Model'!AC61</f>
        <v/>
      </c>
      <c r="O63" s="112">
        <f>'Monthly Model'!AD61</f>
        <v/>
      </c>
      <c r="P63" s="104">
        <f>'Monthly Model'!AL61</f>
        <v/>
      </c>
    </row>
    <row r="64" ht="15.75" customHeight="1" s="85">
      <c r="A64" s="46" t="n">
        <v>59</v>
      </c>
      <c r="B64" s="108">
        <f>'Monthly Model'!B62</f>
        <v/>
      </c>
      <c r="C64" s="47">
        <f>'Monthly Model'!C62</f>
        <v/>
      </c>
      <c r="D64" s="109">
        <f>'Monthly Model'!F62</f>
        <v/>
      </c>
      <c r="E64" s="40">
        <f>'Monthly Model'!I62</f>
        <v/>
      </c>
      <c r="F64" s="40">
        <f>'Monthly Model'!M62</f>
        <v/>
      </c>
      <c r="G64" s="40">
        <f>'Monthly Model'!U62</f>
        <v/>
      </c>
      <c r="H64" s="110">
        <f>'Monthly Model'!AE62</f>
        <v/>
      </c>
      <c r="I64" s="111">
        <f>'Monthly Model'!AG62</f>
        <v/>
      </c>
      <c r="J64" s="102">
        <f>'Monthly Model'!AF62</f>
        <v/>
      </c>
      <c r="K64" s="102">
        <f>'Monthly Model'!V62</f>
        <v/>
      </c>
      <c r="L64" s="102">
        <f>'Monthly Model'!AI62</f>
        <v/>
      </c>
      <c r="M64" s="102">
        <f>'Monthly Model'!AJ62</f>
        <v/>
      </c>
      <c r="N64" s="112">
        <f>'Monthly Model'!AC62</f>
        <v/>
      </c>
      <c r="O64" s="112">
        <f>'Monthly Model'!AD62</f>
        <v/>
      </c>
      <c r="P64" s="104">
        <f>'Monthly Model'!AL62</f>
        <v/>
      </c>
    </row>
    <row r="65" ht="15.75" customHeight="1" s="85">
      <c r="A65" s="58" t="n">
        <v>60</v>
      </c>
      <c r="B65" s="113">
        <f>'Monthly Model'!B63</f>
        <v/>
      </c>
      <c r="C65" s="66">
        <f>'Monthly Model'!C63</f>
        <v/>
      </c>
      <c r="D65" s="114">
        <f>'Monthly Model'!F63</f>
        <v/>
      </c>
      <c r="E65" s="68">
        <f>'Monthly Model'!I63</f>
        <v/>
      </c>
      <c r="F65" s="68">
        <f>'Monthly Model'!M63</f>
        <v/>
      </c>
      <c r="G65" s="68">
        <f>'Monthly Model'!U63</f>
        <v/>
      </c>
      <c r="H65" s="110">
        <f>'Monthly Model'!AE63</f>
        <v/>
      </c>
      <c r="I65" s="111">
        <f>'Monthly Model'!AG63</f>
        <v/>
      </c>
      <c r="J65" s="102">
        <f>'Monthly Model'!AF63</f>
        <v/>
      </c>
      <c r="K65" s="102">
        <f>'Monthly Model'!V63</f>
        <v/>
      </c>
      <c r="L65" s="102">
        <f>'Monthly Model'!AI63</f>
        <v/>
      </c>
      <c r="M65" s="102">
        <f>'Monthly Model'!AJ63</f>
        <v/>
      </c>
      <c r="N65" s="112">
        <f>'Monthly Model'!AC63</f>
        <v/>
      </c>
      <c r="O65" s="112">
        <f>'Monthly Model'!AD63</f>
        <v/>
      </c>
      <c r="P65" s="104">
        <f>'Monthly Model'!AL63</f>
        <v/>
      </c>
    </row>
    <row r="66" ht="15.75" customHeight="1" s="85"/>
    <row r="67" ht="15.75" customHeight="1" s="85"/>
    <row r="68" ht="16.5" customHeight="1" s="85">
      <c r="A68" s="115" t="inlineStr">
        <is>
          <t xml:space="preserve">  SUMMARY — 5-YEAR FUNDING PICTURE</t>
        </is>
      </c>
    </row>
    <row r="69" ht="16.5" customHeight="1" s="85">
      <c r="A69" s="116" t="inlineStr">
        <is>
          <t>Initial equity raised before launch ($)</t>
        </is>
      </c>
      <c r="G69" s="117">
        <f>Assumptions!$B$36</f>
        <v/>
      </c>
    </row>
    <row r="70" ht="15.75" customHeight="1" s="85">
      <c r="A70" s="118" t="inlineStr">
        <is>
          <t>Total incremental equity raised, Yr1-5 ($)</t>
        </is>
      </c>
      <c r="G70" s="56">
        <f>SUM(N6:N65)</f>
        <v/>
      </c>
    </row>
    <row r="71" ht="15.75" customHeight="1" s="85">
      <c r="A71" s="31" t="inlineStr">
        <is>
          <t>Total equity capital required, all-in ($)</t>
        </is>
      </c>
      <c r="G71" s="56">
        <f>G69+G70</f>
        <v/>
      </c>
    </row>
    <row r="72" ht="15.75" customHeight="1" s="85">
      <c r="A72" s="118" t="inlineStr">
        <is>
          <t>Number of equity raise events (months)</t>
        </is>
      </c>
      <c r="G72" s="119">
        <f>COUNTIF(N6:N65,"&gt;"&amp;0)</f>
        <v/>
      </c>
    </row>
    <row r="73" ht="15.75" customHeight="1" s="85">
      <c r="A73" s="31" t="inlineStr">
        <is>
          <t>Warehouse facility — initial committed limit ($)</t>
        </is>
      </c>
      <c r="G73" s="56">
        <f>Assumptions!$B$44</f>
        <v/>
      </c>
    </row>
    <row r="74" ht="15.75" customHeight="1" s="85">
      <c r="A74" s="118" t="inlineStr">
        <is>
          <t>Warehouse facility — limit at end of Year 5 ($)</t>
        </is>
      </c>
      <c r="G74" s="56">
        <f>H65</f>
        <v/>
      </c>
    </row>
    <row r="75" ht="15.75" customHeight="1" s="85">
      <c r="A75" s="31" t="inlineStr">
        <is>
          <t>Number of facility increases over 5 years</t>
        </is>
      </c>
      <c r="G75" s="119">
        <f>SUMPRODUCT((H7:H65&lt;&gt;H6:H64)*1)</f>
        <v/>
      </c>
    </row>
    <row r="76" ht="15.75" customHeight="1" s="85">
      <c r="A76" s="120" t="inlineStr">
        <is>
          <t>Peak facility utilization (%)</t>
        </is>
      </c>
      <c r="G76" s="121">
        <f>MAX(I6:I65)</f>
        <v/>
      </c>
    </row>
    <row r="77" ht="15.75" customHeight="1" s="85">
      <c r="A77" s="120" t="inlineStr">
        <is>
          <t>Cash &amp; investments — end Year 1 ($)</t>
        </is>
      </c>
      <c r="G77" s="112">
        <f>O17</f>
        <v/>
      </c>
    </row>
    <row r="78" ht="15.75" customHeight="1" s="85">
      <c r="A78" s="120" t="inlineStr">
        <is>
          <t>Cash &amp; investments — end Year 2 ($)</t>
        </is>
      </c>
      <c r="G78" s="112">
        <f>O29</f>
        <v/>
      </c>
    </row>
    <row r="79" ht="15.75" customHeight="1" s="85">
      <c r="A79" s="120" t="inlineStr">
        <is>
          <t>Cash &amp; investments — end Year 5 ($)</t>
        </is>
      </c>
      <c r="G79" s="112">
        <f>O65</f>
        <v/>
      </c>
    </row>
    <row r="80" ht="15.75" customHeight="1" s="85">
      <c r="A80" s="120" t="inlineStr">
        <is>
          <t>Minimum cash balance maintained ($)</t>
        </is>
      </c>
      <c r="G80" s="112">
        <f>MIN(O6:O65)</f>
        <v/>
      </c>
    </row>
    <row r="81" ht="15.75" customHeight="1" s="85">
      <c r="A81" s="120" t="inlineStr">
        <is>
          <t>Total interest expense on debt, 5yr ($)</t>
        </is>
      </c>
      <c r="G81" s="112">
        <f>SUM(K6:K65)</f>
        <v/>
      </c>
    </row>
    <row r="82" ht="15.75" customHeight="1" s="85">
      <c r="A82" s="120" t="inlineStr">
        <is>
          <t>Total investment income on excess cash, 5yr ($)</t>
        </is>
      </c>
      <c r="G82" s="112">
        <f>SUM(M6:M65)</f>
        <v/>
      </c>
    </row>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30">
    <mergeCell ref="A80:F80"/>
    <mergeCell ref="A75:F75"/>
    <mergeCell ref="G69:I69"/>
    <mergeCell ref="A74:F74"/>
    <mergeCell ref="G78:I78"/>
    <mergeCell ref="G74:I74"/>
    <mergeCell ref="A68:P68"/>
    <mergeCell ref="A71:F71"/>
    <mergeCell ref="A76:F76"/>
    <mergeCell ref="G80:I80"/>
    <mergeCell ref="G79:I79"/>
    <mergeCell ref="G73:I73"/>
    <mergeCell ref="A72:F72"/>
    <mergeCell ref="G76:I76"/>
    <mergeCell ref="A81:F81"/>
    <mergeCell ref="A1:P1"/>
    <mergeCell ref="G75:I75"/>
    <mergeCell ref="G81:I81"/>
    <mergeCell ref="G72:I72"/>
    <mergeCell ref="A77:F77"/>
    <mergeCell ref="G77:I77"/>
    <mergeCell ref="A73:F73"/>
    <mergeCell ref="G71:I71"/>
    <mergeCell ref="A82:F82"/>
    <mergeCell ref="G70:I70"/>
    <mergeCell ref="A70:F70"/>
    <mergeCell ref="A79:F79"/>
    <mergeCell ref="A78:F78"/>
    <mergeCell ref="G82:I82"/>
    <mergeCell ref="A69:F69"/>
  </mergeCells>
  <conditionalFormatting sqref="A6:P65">
    <cfRule type="expression" priority="1" dxfId="0">
      <formula>$P6&lt;&gt;""</formula>
    </cfRule>
  </conditionalFormatting>
  <pageMargins left="0.75" right="0.75" top="1" bottom="1" header="0" footer="0"/>
  <pageSetup orientation="portrait"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1000"/>
  <sheetViews>
    <sheetView showGridLines="0" workbookViewId="0">
      <selection activeCell="A1" sqref="A1"/>
    </sheetView>
  </sheetViews>
  <sheetFormatPr baseColWidth="8" defaultColWidth="14.43" defaultRowHeight="15" customHeight="1"/>
  <cols>
    <col width="6" customWidth="1" style="85" min="1" max="1"/>
    <col width="14" customWidth="1" style="85" min="2" max="2"/>
    <col width="5" customWidth="1" style="85" min="3" max="3"/>
    <col width="14" customWidth="1" style="85" min="4" max="7"/>
    <col width="16" customWidth="1" style="85" min="5" max="5"/>
    <col width="14" customWidth="1" style="85" min="6" max="6"/>
    <col width="15" customWidth="1" style="85" min="7" max="7"/>
    <col width="14" customWidth="1" style="85" min="8" max="8"/>
    <col width="16" customWidth="1" style="85" min="9" max="9"/>
    <col width="40" customWidth="1" style="85" min="10" max="26"/>
  </cols>
  <sheetData>
    <row r="1" ht="24" customHeight="1" s="85">
      <c r="A1" s="86" t="inlineStr">
        <is>
          <t xml:space="preserve">  VetFinance  |  Capital Plan — When to Raise, and How Much</t>
        </is>
      </c>
    </row>
    <row r="2" ht="15.75" customHeight="1" s="85">
      <c r="A2" s="122" t="inlineStr">
        <is>
          <t xml:space="preserve">  Quarterly view of the funding needs coming out of the Monthly Model: how much equity to raise, when the warehouse facility needs to be upsized (and to what size), and the resulting cash position. Rows highlighted amber require action. Adjust Assumptions to re-run the scenario.</t>
        </is>
      </c>
    </row>
    <row r="3" ht="7.5" customHeight="1" s="85">
      <c r="A3" s="4" t="n"/>
      <c r="B3" s="4" t="n"/>
      <c r="C3" s="4" t="n"/>
      <c r="D3" s="4" t="n"/>
      <c r="E3" s="4" t="n"/>
      <c r="F3" s="4" t="n"/>
      <c r="G3" s="4" t="n"/>
      <c r="H3" s="4" t="n"/>
      <c r="I3" s="4" t="n"/>
    </row>
    <row r="4" ht="33.75" customHeight="1" s="85">
      <c r="A4" s="123" t="inlineStr">
        <is>
          <t>Qtr</t>
        </is>
      </c>
      <c r="B4" s="123" t="inlineStr">
        <is>
          <t>Period</t>
        </is>
      </c>
      <c r="C4" s="123" t="inlineStr">
        <is>
          <t>Yr</t>
        </is>
      </c>
      <c r="D4" s="123" t="inlineStr">
        <is>
          <t>Equity Raise
This Qtr ($)</t>
        </is>
      </c>
      <c r="E4" s="123" t="inlineStr">
        <is>
          <t>Cumulative Equity
Raised ($)</t>
        </is>
      </c>
      <c r="F4" s="123" t="inlineStr">
        <is>
          <t>Facility Limit at
Qtr End ($)</t>
        </is>
      </c>
      <c r="G4" s="123" t="inlineStr">
        <is>
          <t>Facility Increase
This Qtr ($)</t>
        </is>
      </c>
      <c r="H4" s="123" t="inlineStr">
        <is>
          <t>Facility Utilization
at Qtr End (%)</t>
        </is>
      </c>
      <c r="I4" s="123" t="inlineStr">
        <is>
          <t>Cash &amp; Investments
at Qtr End ($)</t>
        </is>
      </c>
      <c r="J4" s="124" t="inlineStr">
        <is>
          <t>Recommended Action</t>
        </is>
      </c>
    </row>
    <row r="5" ht="15.75" customHeight="1" s="85">
      <c r="A5" s="46" t="n">
        <v>1</v>
      </c>
      <c r="B5" s="108">
        <f>'Monthly Model'!B4</f>
        <v/>
      </c>
      <c r="C5" s="125">
        <f>'Monthly Model'!C6</f>
        <v/>
      </c>
      <c r="D5" s="40">
        <f>SUM('Monthly Model'!AC4:AC6)</f>
        <v/>
      </c>
      <c r="E5" s="41">
        <f>Assumptions!$B$36+D5</f>
        <v/>
      </c>
      <c r="F5" s="40">
        <f>'Monthly Model'!AE6</f>
        <v/>
      </c>
      <c r="G5" s="40">
        <f>SUM('Monthly Model'!AH4:AH6)</f>
        <v/>
      </c>
      <c r="H5" s="126">
        <f>'Monthly Model'!AG6</f>
        <v/>
      </c>
      <c r="I5" s="41">
        <f>'Monthly Model'!AD6</f>
        <v/>
      </c>
      <c r="J5" s="104">
        <f>TRIM(IF(G5&gt;0,"Increase facility to $"&amp;TEXT(F5,"#,##0")&amp;". ","")&amp;IF(D5&gt;0,"Raise ~$"&amp;TEXT(D5,"#,##0")&amp;" of equity this quarter.",""))</f>
        <v/>
      </c>
    </row>
    <row r="6" ht="15" customHeight="1" s="85">
      <c r="A6" s="46" t="n">
        <v>2</v>
      </c>
      <c r="B6" s="108">
        <f>'Monthly Model'!B7</f>
        <v/>
      </c>
      <c r="C6" s="125">
        <f>'Monthly Model'!C9</f>
        <v/>
      </c>
      <c r="D6" s="40">
        <f>SUM('Monthly Model'!AC7:AC9)</f>
        <v/>
      </c>
      <c r="E6" s="41">
        <f>E5+D6</f>
        <v/>
      </c>
      <c r="F6" s="40">
        <f>'Monthly Model'!AE9</f>
        <v/>
      </c>
      <c r="G6" s="40">
        <f>SUM('Monthly Model'!AH7:AH9)</f>
        <v/>
      </c>
      <c r="H6" s="126">
        <f>'Monthly Model'!AG9</f>
        <v/>
      </c>
      <c r="I6" s="41">
        <f>'Monthly Model'!AD9</f>
        <v/>
      </c>
      <c r="J6" s="104">
        <f>TRIM(IF(G6&gt;0,"Increase facility to $"&amp;TEXT(F6,"#,##0")&amp;". ","")&amp;IF(D6&gt;0,"Raise ~$"&amp;TEXT(D6,"#,##0")&amp;" of equity this quarter.",""))</f>
        <v/>
      </c>
    </row>
    <row r="7" ht="15" customHeight="1" s="85">
      <c r="A7" s="46" t="n">
        <v>3</v>
      </c>
      <c r="B7" s="108">
        <f>'Monthly Model'!B10</f>
        <v/>
      </c>
      <c r="C7" s="125">
        <f>'Monthly Model'!C12</f>
        <v/>
      </c>
      <c r="D7" s="40">
        <f>SUM('Monthly Model'!AC10:AC12)</f>
        <v/>
      </c>
      <c r="E7" s="41">
        <f>E6+D7</f>
        <v/>
      </c>
      <c r="F7" s="40">
        <f>'Monthly Model'!AE12</f>
        <v/>
      </c>
      <c r="G7" s="40">
        <f>SUM('Monthly Model'!AH10:AH12)</f>
        <v/>
      </c>
      <c r="H7" s="126">
        <f>'Monthly Model'!AG12</f>
        <v/>
      </c>
      <c r="I7" s="41">
        <f>'Monthly Model'!AD12</f>
        <v/>
      </c>
      <c r="J7" s="104">
        <f>TRIM(IF(G7&gt;0,"Increase facility to $"&amp;TEXT(F7,"#,##0")&amp;". ","")&amp;IF(D7&gt;0,"Raise ~$"&amp;TEXT(D7,"#,##0")&amp;" of equity this quarter.",""))</f>
        <v/>
      </c>
    </row>
    <row r="8" ht="15" customHeight="1" s="85">
      <c r="A8" s="46" t="n">
        <v>4</v>
      </c>
      <c r="B8" s="108">
        <f>'Monthly Model'!B13</f>
        <v/>
      </c>
      <c r="C8" s="125">
        <f>'Monthly Model'!C15</f>
        <v/>
      </c>
      <c r="D8" s="40">
        <f>SUM('Monthly Model'!AC13:AC15)</f>
        <v/>
      </c>
      <c r="E8" s="41">
        <f>E7+D8</f>
        <v/>
      </c>
      <c r="F8" s="40">
        <f>'Monthly Model'!AE15</f>
        <v/>
      </c>
      <c r="G8" s="40">
        <f>SUM('Monthly Model'!AH13:AH15)</f>
        <v/>
      </c>
      <c r="H8" s="126">
        <f>'Monthly Model'!AG15</f>
        <v/>
      </c>
      <c r="I8" s="41">
        <f>'Monthly Model'!AD15</f>
        <v/>
      </c>
      <c r="J8" s="104">
        <f>TRIM(IF(G8&gt;0,"Increase facility to $"&amp;TEXT(F8,"#,##0")&amp;". ","")&amp;IF(D8&gt;0,"Raise ~$"&amp;TEXT(D8,"#,##0")&amp;" of equity this quarter.",""))</f>
        <v/>
      </c>
    </row>
    <row r="9" ht="15" customHeight="1" s="85">
      <c r="A9" s="46" t="n">
        <v>5</v>
      </c>
      <c r="B9" s="108">
        <f>'Monthly Model'!B16</f>
        <v/>
      </c>
      <c r="C9" s="125">
        <f>'Monthly Model'!C18</f>
        <v/>
      </c>
      <c r="D9" s="40">
        <f>SUM('Monthly Model'!AC16:AC18)</f>
        <v/>
      </c>
      <c r="E9" s="41">
        <f>E8+D9</f>
        <v/>
      </c>
      <c r="F9" s="40">
        <f>'Monthly Model'!AE18</f>
        <v/>
      </c>
      <c r="G9" s="40">
        <f>SUM('Monthly Model'!AH16:AH18)</f>
        <v/>
      </c>
      <c r="H9" s="126">
        <f>'Monthly Model'!AG18</f>
        <v/>
      </c>
      <c r="I9" s="41">
        <f>'Monthly Model'!AD18</f>
        <v/>
      </c>
      <c r="J9" s="104">
        <f>TRIM(IF(G9&gt;0,"Increase facility to $"&amp;TEXT(F9,"#,##0")&amp;". ","")&amp;IF(D9&gt;0,"Raise ~$"&amp;TEXT(D9,"#,##0")&amp;" of equity this quarter.",""))</f>
        <v/>
      </c>
    </row>
    <row r="10" ht="15" customHeight="1" s="85">
      <c r="A10" s="46" t="n">
        <v>6</v>
      </c>
      <c r="B10" s="108">
        <f>'Monthly Model'!B19</f>
        <v/>
      </c>
      <c r="C10" s="125">
        <f>'Monthly Model'!C21</f>
        <v/>
      </c>
      <c r="D10" s="40">
        <f>SUM('Monthly Model'!AC19:AC21)</f>
        <v/>
      </c>
      <c r="E10" s="41">
        <f>E9+D10</f>
        <v/>
      </c>
      <c r="F10" s="40">
        <f>'Monthly Model'!AE21</f>
        <v/>
      </c>
      <c r="G10" s="40">
        <f>SUM('Monthly Model'!AH19:AH21)</f>
        <v/>
      </c>
      <c r="H10" s="126">
        <f>'Monthly Model'!AG21</f>
        <v/>
      </c>
      <c r="I10" s="41">
        <f>'Monthly Model'!AD21</f>
        <v/>
      </c>
      <c r="J10" s="104">
        <f>TRIM(IF(G10&gt;0,"Increase facility to $"&amp;TEXT(F10,"#,##0")&amp;". ","")&amp;IF(D10&gt;0,"Raise ~$"&amp;TEXT(D10,"#,##0")&amp;" of equity this quarter.",""))</f>
        <v/>
      </c>
    </row>
    <row r="11" ht="15" customHeight="1" s="85">
      <c r="A11" s="46" t="n">
        <v>7</v>
      </c>
      <c r="B11" s="108">
        <f>'Monthly Model'!B22</f>
        <v/>
      </c>
      <c r="C11" s="125">
        <f>'Monthly Model'!C24</f>
        <v/>
      </c>
      <c r="D11" s="40">
        <f>SUM('Monthly Model'!AC22:AC24)</f>
        <v/>
      </c>
      <c r="E11" s="41">
        <f>E10+D11</f>
        <v/>
      </c>
      <c r="F11" s="40">
        <f>'Monthly Model'!AE24</f>
        <v/>
      </c>
      <c r="G11" s="40">
        <f>SUM('Monthly Model'!AH22:AH24)</f>
        <v/>
      </c>
      <c r="H11" s="126">
        <f>'Monthly Model'!AG24</f>
        <v/>
      </c>
      <c r="I11" s="41">
        <f>'Monthly Model'!AD24</f>
        <v/>
      </c>
      <c r="J11" s="104">
        <f>TRIM(IF(G11&gt;0,"Increase facility to $"&amp;TEXT(F11,"#,##0")&amp;". ","")&amp;IF(D11&gt;0,"Raise ~$"&amp;TEXT(D11,"#,##0")&amp;" of equity this quarter.",""))</f>
        <v/>
      </c>
    </row>
    <row r="12" ht="15" customHeight="1" s="85">
      <c r="A12" s="46" t="n">
        <v>8</v>
      </c>
      <c r="B12" s="108">
        <f>'Monthly Model'!B25</f>
        <v/>
      </c>
      <c r="C12" s="125">
        <f>'Monthly Model'!C27</f>
        <v/>
      </c>
      <c r="D12" s="40">
        <f>SUM('Monthly Model'!AC25:AC27)</f>
        <v/>
      </c>
      <c r="E12" s="41">
        <f>E11+D12</f>
        <v/>
      </c>
      <c r="F12" s="40">
        <f>'Monthly Model'!AE27</f>
        <v/>
      </c>
      <c r="G12" s="40">
        <f>SUM('Monthly Model'!AH25:AH27)</f>
        <v/>
      </c>
      <c r="H12" s="126">
        <f>'Monthly Model'!AG27</f>
        <v/>
      </c>
      <c r="I12" s="41">
        <f>'Monthly Model'!AD27</f>
        <v/>
      </c>
      <c r="J12" s="104">
        <f>TRIM(IF(G12&gt;0,"Increase facility to $"&amp;TEXT(F12,"#,##0")&amp;". ","")&amp;IF(D12&gt;0,"Raise ~$"&amp;TEXT(D12,"#,##0")&amp;" of equity this quarter.",""))</f>
        <v/>
      </c>
    </row>
    <row r="13" ht="15" customHeight="1" s="85">
      <c r="A13" s="46" t="n">
        <v>9</v>
      </c>
      <c r="B13" s="108">
        <f>'Monthly Model'!B28</f>
        <v/>
      </c>
      <c r="C13" s="125">
        <f>'Monthly Model'!C30</f>
        <v/>
      </c>
      <c r="D13" s="40">
        <f>SUM('Monthly Model'!AC28:AC30)</f>
        <v/>
      </c>
      <c r="E13" s="41">
        <f>E12+D13</f>
        <v/>
      </c>
      <c r="F13" s="40">
        <f>'Monthly Model'!AE30</f>
        <v/>
      </c>
      <c r="G13" s="40">
        <f>SUM('Monthly Model'!AH28:AH30)</f>
        <v/>
      </c>
      <c r="H13" s="126">
        <f>'Monthly Model'!AG30</f>
        <v/>
      </c>
      <c r="I13" s="41">
        <f>'Monthly Model'!AD30</f>
        <v/>
      </c>
      <c r="J13" s="104">
        <f>TRIM(IF(G13&gt;0,"Increase facility to $"&amp;TEXT(F13,"#,##0")&amp;". ","")&amp;IF(D13&gt;0,"Raise ~$"&amp;TEXT(D13,"#,##0")&amp;" of equity this quarter.",""))</f>
        <v/>
      </c>
    </row>
    <row r="14" ht="15" customHeight="1" s="85">
      <c r="A14" s="46" t="n">
        <v>10</v>
      </c>
      <c r="B14" s="108">
        <f>'Monthly Model'!B31</f>
        <v/>
      </c>
      <c r="C14" s="125">
        <f>'Monthly Model'!C33</f>
        <v/>
      </c>
      <c r="D14" s="40">
        <f>SUM('Monthly Model'!AC31:AC33)</f>
        <v/>
      </c>
      <c r="E14" s="41">
        <f>E13+D14</f>
        <v/>
      </c>
      <c r="F14" s="40">
        <f>'Monthly Model'!AE33</f>
        <v/>
      </c>
      <c r="G14" s="40">
        <f>SUM('Monthly Model'!AH31:AH33)</f>
        <v/>
      </c>
      <c r="H14" s="126">
        <f>'Monthly Model'!AG33</f>
        <v/>
      </c>
      <c r="I14" s="41">
        <f>'Monthly Model'!AD33</f>
        <v/>
      </c>
      <c r="J14" s="104">
        <f>TRIM(IF(G14&gt;0,"Increase facility to $"&amp;TEXT(F14,"#,##0")&amp;". ","")&amp;IF(D14&gt;0,"Raise ~$"&amp;TEXT(D14,"#,##0")&amp;" of equity this quarter.",""))</f>
        <v/>
      </c>
    </row>
    <row r="15" ht="15" customHeight="1" s="85">
      <c r="A15" s="46" t="n">
        <v>11</v>
      </c>
      <c r="B15" s="108">
        <f>'Monthly Model'!B34</f>
        <v/>
      </c>
      <c r="C15" s="125">
        <f>'Monthly Model'!C36</f>
        <v/>
      </c>
      <c r="D15" s="40">
        <f>SUM('Monthly Model'!AC34:AC36)</f>
        <v/>
      </c>
      <c r="E15" s="41">
        <f>E14+D15</f>
        <v/>
      </c>
      <c r="F15" s="40">
        <f>'Monthly Model'!AE36</f>
        <v/>
      </c>
      <c r="G15" s="40">
        <f>SUM('Monthly Model'!AH34:AH36)</f>
        <v/>
      </c>
      <c r="H15" s="126">
        <f>'Monthly Model'!AG36</f>
        <v/>
      </c>
      <c r="I15" s="41">
        <f>'Monthly Model'!AD36</f>
        <v/>
      </c>
      <c r="J15" s="104">
        <f>TRIM(IF(G15&gt;0,"Increase facility to $"&amp;TEXT(F15,"#,##0")&amp;". ","")&amp;IF(D15&gt;0,"Raise ~$"&amp;TEXT(D15,"#,##0")&amp;" of equity this quarter.",""))</f>
        <v/>
      </c>
    </row>
    <row r="16" ht="15" customHeight="1" s="85">
      <c r="A16" s="46" t="n">
        <v>12</v>
      </c>
      <c r="B16" s="108">
        <f>'Monthly Model'!B37</f>
        <v/>
      </c>
      <c r="C16" s="125">
        <f>'Monthly Model'!C39</f>
        <v/>
      </c>
      <c r="D16" s="40">
        <f>SUM('Monthly Model'!AC37:AC39)</f>
        <v/>
      </c>
      <c r="E16" s="41">
        <f>E15+D16</f>
        <v/>
      </c>
      <c r="F16" s="40">
        <f>'Monthly Model'!AE39</f>
        <v/>
      </c>
      <c r="G16" s="40">
        <f>SUM('Monthly Model'!AH37:AH39)</f>
        <v/>
      </c>
      <c r="H16" s="126">
        <f>'Monthly Model'!AG39</f>
        <v/>
      </c>
      <c r="I16" s="41">
        <f>'Monthly Model'!AD39</f>
        <v/>
      </c>
      <c r="J16" s="104">
        <f>TRIM(IF(G16&gt;0,"Increase facility to $"&amp;TEXT(F16,"#,##0")&amp;". ","")&amp;IF(D16&gt;0,"Raise ~$"&amp;TEXT(D16,"#,##0")&amp;" of equity this quarter.",""))</f>
        <v/>
      </c>
    </row>
    <row r="17" ht="15" customHeight="1" s="85">
      <c r="A17" s="46" t="n">
        <v>13</v>
      </c>
      <c r="B17" s="108">
        <f>'Monthly Model'!B40</f>
        <v/>
      </c>
      <c r="C17" s="125">
        <f>'Monthly Model'!C42</f>
        <v/>
      </c>
      <c r="D17" s="40">
        <f>SUM('Monthly Model'!AC40:AC42)</f>
        <v/>
      </c>
      <c r="E17" s="41">
        <f>E16+D17</f>
        <v/>
      </c>
      <c r="F17" s="40">
        <f>'Monthly Model'!AE42</f>
        <v/>
      </c>
      <c r="G17" s="40">
        <f>SUM('Monthly Model'!AH40:AH42)</f>
        <v/>
      </c>
      <c r="H17" s="126">
        <f>'Monthly Model'!AG42</f>
        <v/>
      </c>
      <c r="I17" s="41">
        <f>'Monthly Model'!AD42</f>
        <v/>
      </c>
      <c r="J17" s="104">
        <f>TRIM(IF(G17&gt;0,"Increase facility to $"&amp;TEXT(F17,"#,##0")&amp;". ","")&amp;IF(D17&gt;0,"Raise ~$"&amp;TEXT(D17,"#,##0")&amp;" of equity this quarter.",""))</f>
        <v/>
      </c>
    </row>
    <row r="18" ht="15" customHeight="1" s="85">
      <c r="A18" s="46" t="n">
        <v>14</v>
      </c>
      <c r="B18" s="108">
        <f>'Monthly Model'!B43</f>
        <v/>
      </c>
      <c r="C18" s="125">
        <f>'Monthly Model'!C45</f>
        <v/>
      </c>
      <c r="D18" s="40">
        <f>SUM('Monthly Model'!AC43:AC45)</f>
        <v/>
      </c>
      <c r="E18" s="41">
        <f>E17+D18</f>
        <v/>
      </c>
      <c r="F18" s="40">
        <f>'Monthly Model'!AE45</f>
        <v/>
      </c>
      <c r="G18" s="40">
        <f>SUM('Monthly Model'!AH43:AH45)</f>
        <v/>
      </c>
      <c r="H18" s="126">
        <f>'Monthly Model'!AG45</f>
        <v/>
      </c>
      <c r="I18" s="41">
        <f>'Monthly Model'!AD45</f>
        <v/>
      </c>
      <c r="J18" s="104">
        <f>TRIM(IF(G18&gt;0,"Increase facility to $"&amp;TEXT(F18,"#,##0")&amp;". ","")&amp;IF(D18&gt;0,"Raise ~$"&amp;TEXT(D18,"#,##0")&amp;" of equity this quarter.",""))</f>
        <v/>
      </c>
    </row>
    <row r="19" ht="15" customHeight="1" s="85">
      <c r="A19" s="46" t="n">
        <v>15</v>
      </c>
      <c r="B19" s="108">
        <f>'Monthly Model'!B46</f>
        <v/>
      </c>
      <c r="C19" s="125">
        <f>'Monthly Model'!C48</f>
        <v/>
      </c>
      <c r="D19" s="40">
        <f>SUM('Monthly Model'!AC46:AC48)</f>
        <v/>
      </c>
      <c r="E19" s="41">
        <f>E18+D19</f>
        <v/>
      </c>
      <c r="F19" s="40">
        <f>'Monthly Model'!AE48</f>
        <v/>
      </c>
      <c r="G19" s="40">
        <f>SUM('Monthly Model'!AH46:AH48)</f>
        <v/>
      </c>
      <c r="H19" s="126">
        <f>'Monthly Model'!AG48</f>
        <v/>
      </c>
      <c r="I19" s="41">
        <f>'Monthly Model'!AD48</f>
        <v/>
      </c>
      <c r="J19" s="104">
        <f>TRIM(IF(G19&gt;0,"Increase facility to $"&amp;TEXT(F19,"#,##0")&amp;". ","")&amp;IF(D19&gt;0,"Raise ~$"&amp;TEXT(D19,"#,##0")&amp;" of equity this quarter.",""))</f>
        <v/>
      </c>
    </row>
    <row r="20" ht="15" customHeight="1" s="85">
      <c r="A20" s="46" t="n">
        <v>16</v>
      </c>
      <c r="B20" s="108">
        <f>'Monthly Model'!B49</f>
        <v/>
      </c>
      <c r="C20" s="125">
        <f>'Monthly Model'!C51</f>
        <v/>
      </c>
      <c r="D20" s="40">
        <f>SUM('Monthly Model'!AC49:AC51)</f>
        <v/>
      </c>
      <c r="E20" s="41">
        <f>E19+D20</f>
        <v/>
      </c>
      <c r="F20" s="40">
        <f>'Monthly Model'!AE51</f>
        <v/>
      </c>
      <c r="G20" s="40">
        <f>SUM('Monthly Model'!AH49:AH51)</f>
        <v/>
      </c>
      <c r="H20" s="126">
        <f>'Monthly Model'!AG51</f>
        <v/>
      </c>
      <c r="I20" s="41">
        <f>'Monthly Model'!AD51</f>
        <v/>
      </c>
      <c r="J20" s="104">
        <f>TRIM(IF(G20&gt;0,"Increase facility to $"&amp;TEXT(F20,"#,##0")&amp;". ","")&amp;IF(D20&gt;0,"Raise ~$"&amp;TEXT(D20,"#,##0")&amp;" of equity this quarter.",""))</f>
        <v/>
      </c>
    </row>
    <row r="21" ht="15" customHeight="1" s="85">
      <c r="A21" s="46" t="n">
        <v>17</v>
      </c>
      <c r="B21" s="108">
        <f>'Monthly Model'!B52</f>
        <v/>
      </c>
      <c r="C21" s="125">
        <f>'Monthly Model'!C54</f>
        <v/>
      </c>
      <c r="D21" s="40">
        <f>SUM('Monthly Model'!AC52:AC54)</f>
        <v/>
      </c>
      <c r="E21" s="41">
        <f>E20+D21</f>
        <v/>
      </c>
      <c r="F21" s="40">
        <f>'Monthly Model'!AE54</f>
        <v/>
      </c>
      <c r="G21" s="40">
        <f>SUM('Monthly Model'!AH52:AH54)</f>
        <v/>
      </c>
      <c r="H21" s="126">
        <f>'Monthly Model'!AG54</f>
        <v/>
      </c>
      <c r="I21" s="41">
        <f>'Monthly Model'!AD54</f>
        <v/>
      </c>
      <c r="J21" s="104">
        <f>TRIM(IF(G21&gt;0,"Increase facility to $"&amp;TEXT(F21,"#,##0")&amp;". ","")&amp;IF(D21&gt;0,"Raise ~$"&amp;TEXT(D21,"#,##0")&amp;" of equity this quarter.",""))</f>
        <v/>
      </c>
    </row>
    <row r="22" ht="15" customHeight="1" s="85">
      <c r="A22" s="46" t="n">
        <v>18</v>
      </c>
      <c r="B22" s="108">
        <f>'Monthly Model'!B55</f>
        <v/>
      </c>
      <c r="C22" s="125">
        <f>'Monthly Model'!C57</f>
        <v/>
      </c>
      <c r="D22" s="40">
        <f>SUM('Monthly Model'!AC55:AC57)</f>
        <v/>
      </c>
      <c r="E22" s="41">
        <f>E21+D22</f>
        <v/>
      </c>
      <c r="F22" s="40">
        <f>'Monthly Model'!AE57</f>
        <v/>
      </c>
      <c r="G22" s="40">
        <f>SUM('Monthly Model'!AH55:AH57)</f>
        <v/>
      </c>
      <c r="H22" s="126">
        <f>'Monthly Model'!AG57</f>
        <v/>
      </c>
      <c r="I22" s="41">
        <f>'Monthly Model'!AD57</f>
        <v/>
      </c>
      <c r="J22" s="104">
        <f>TRIM(IF(G22&gt;0,"Increase facility to $"&amp;TEXT(F22,"#,##0")&amp;". ","")&amp;IF(D22&gt;0,"Raise ~$"&amp;TEXT(D22,"#,##0")&amp;" of equity this quarter.",""))</f>
        <v/>
      </c>
    </row>
    <row r="23" ht="15" customHeight="1" s="85">
      <c r="A23" s="46" t="n">
        <v>19</v>
      </c>
      <c r="B23" s="108">
        <f>'Monthly Model'!B58</f>
        <v/>
      </c>
      <c r="C23" s="125">
        <f>'Monthly Model'!C60</f>
        <v/>
      </c>
      <c r="D23" s="40">
        <f>SUM('Monthly Model'!AC58:AC60)</f>
        <v/>
      </c>
      <c r="E23" s="41">
        <f>E22+D23</f>
        <v/>
      </c>
      <c r="F23" s="40">
        <f>'Monthly Model'!AE60</f>
        <v/>
      </c>
      <c r="G23" s="40">
        <f>SUM('Monthly Model'!AH58:AH60)</f>
        <v/>
      </c>
      <c r="H23" s="126">
        <f>'Monthly Model'!AG60</f>
        <v/>
      </c>
      <c r="I23" s="41">
        <f>'Monthly Model'!AD60</f>
        <v/>
      </c>
      <c r="J23" s="104">
        <f>TRIM(IF(G23&gt;0,"Increase facility to $"&amp;TEXT(F23,"#,##0")&amp;". ","")&amp;IF(D23&gt;0,"Raise ~$"&amp;TEXT(D23,"#,##0")&amp;" of equity this quarter.",""))</f>
        <v/>
      </c>
    </row>
    <row r="24" ht="15" customHeight="1" s="85">
      <c r="A24" s="46" t="n">
        <v>20</v>
      </c>
      <c r="B24" s="108">
        <f>'Monthly Model'!B61</f>
        <v/>
      </c>
      <c r="C24" s="125">
        <f>'Monthly Model'!C63</f>
        <v/>
      </c>
      <c r="D24" s="40">
        <f>SUM('Monthly Model'!AC61:AC63)</f>
        <v/>
      </c>
      <c r="E24" s="41">
        <f>E23+D24</f>
        <v/>
      </c>
      <c r="F24" s="40">
        <f>'Monthly Model'!AE63</f>
        <v/>
      </c>
      <c r="G24" s="40">
        <f>SUM('Monthly Model'!AH61:AH63)</f>
        <v/>
      </c>
      <c r="H24" s="126">
        <f>'Monthly Model'!AG63</f>
        <v/>
      </c>
      <c r="I24" s="41">
        <f>'Monthly Model'!AD63</f>
        <v/>
      </c>
      <c r="J24" s="104">
        <f>TRIM(IF(G24&gt;0,"Increase facility to $"&amp;TEXT(F24,"#,##0")&amp;". ","")&amp;IF(D24&gt;0,"Raise ~$"&amp;TEXT(D24,"#,##0")&amp;" of equity this quarter.",""))</f>
        <v/>
      </c>
    </row>
    <row r="25" ht="15" customHeight="1" s="85">
      <c r="A25" s="46" t="n"/>
      <c r="B25" s="32" t="n"/>
      <c r="C25" s="82" t="n"/>
      <c r="D25" s="36" t="n"/>
      <c r="E25" s="38" t="n"/>
      <c r="F25" s="38" t="n"/>
      <c r="G25" s="83" t="n"/>
      <c r="H25" s="83" t="n"/>
      <c r="I25" s="41" t="n"/>
    </row>
    <row r="26" ht="15" customHeight="1" s="85">
      <c r="A26" s="46" t="n"/>
      <c r="B26" s="32" t="n"/>
      <c r="C26" s="82" t="n"/>
      <c r="D26" s="36" t="n"/>
      <c r="E26" s="38" t="n"/>
      <c r="F26" s="38" t="n"/>
      <c r="G26" s="83" t="n"/>
      <c r="H26" s="83" t="n"/>
      <c r="I26" s="41" t="n"/>
    </row>
    <row r="27" ht="15" customHeight="1" s="85">
      <c r="A27" s="127" t="inlineStr">
        <is>
          <t xml:space="preserve">  SUMMARY — CAPITAL ACTIONS OVER 5 YEARS</t>
        </is>
      </c>
    </row>
    <row r="28" ht="15" customHeight="1" s="85">
      <c r="A28" s="46" t="n"/>
      <c r="B28" s="32" t="n"/>
      <c r="C28" s="82" t="n"/>
      <c r="D28" s="36" t="n"/>
      <c r="E28" s="38" t="n"/>
      <c r="F28" s="38" t="n"/>
      <c r="G28" s="83" t="n"/>
      <c r="H28" s="83" t="n"/>
      <c r="I28" s="41" t="n"/>
    </row>
    <row r="29" ht="15" customHeight="1" s="85">
      <c r="A29" s="46" t="inlineStr">
        <is>
          <t>Initial equity raised before launch ($)</t>
        </is>
      </c>
      <c r="G29" s="41">
        <f>Assumptions!$B$36</f>
        <v/>
      </c>
    </row>
    <row r="30" ht="15" customHeight="1" s="85">
      <c r="A30" s="46" t="inlineStr">
        <is>
          <t>Total incremental equity raised, Yr1-5 ($)</t>
        </is>
      </c>
      <c r="G30" s="41">
        <f>SUM(D5:D24)</f>
        <v/>
      </c>
    </row>
    <row r="31" ht="15" customHeight="1" s="85">
      <c r="A31" s="46" t="inlineStr">
        <is>
          <t>Total equity capital required, all-in ($)</t>
        </is>
      </c>
      <c r="G31" s="41">
        <f>G29+G30</f>
        <v/>
      </c>
    </row>
    <row r="32" ht="15" customHeight="1" s="85">
      <c r="A32" s="46" t="inlineStr">
        <is>
          <t>Number of quarters requiring an equity raise</t>
        </is>
      </c>
      <c r="G32" s="128">
        <f>COUNTIF(D5:D24,"&gt;"&amp;0)</f>
        <v/>
      </c>
    </row>
    <row r="33" ht="15" customHeight="1" s="85">
      <c r="A33" s="46" t="inlineStr">
        <is>
          <t>Warehouse facility — initial committed limit ($)</t>
        </is>
      </c>
      <c r="G33" s="41">
        <f>Assumptions!$B$44</f>
        <v/>
      </c>
    </row>
    <row r="34" ht="15" customHeight="1" s="85">
      <c r="A34" s="46" t="inlineStr">
        <is>
          <t>Warehouse facility — limit at end of Year 5 ($)</t>
        </is>
      </c>
      <c r="G34" s="41">
        <f>F24</f>
        <v/>
      </c>
    </row>
    <row r="35" ht="15" customHeight="1" s="85">
      <c r="A35" s="46" t="inlineStr">
        <is>
          <t>Number of facility upsize events over 5 years</t>
        </is>
      </c>
      <c r="G35" s="128">
        <f>COUNTIF(G5:G24,"&gt;"&amp;0)</f>
        <v/>
      </c>
    </row>
    <row r="36" ht="15" customHeight="1" s="85">
      <c r="A36" s="46" t="inlineStr">
        <is>
          <t>Peak facility utilization (%)</t>
        </is>
      </c>
      <c r="G36" s="129">
        <f>MAX('Monthly Model'!AG4:AG63)</f>
        <v/>
      </c>
    </row>
    <row r="37" ht="15" customHeight="1" s="85">
      <c r="A37" s="46" t="inlineStr">
        <is>
          <t>Cash &amp; investments — end Year 5 ($)</t>
        </is>
      </c>
      <c r="G37" s="41">
        <f>I24</f>
        <v/>
      </c>
    </row>
    <row r="38" ht="15" customHeight="1" s="85">
      <c r="A38" s="46" t="inlineStr">
        <is>
          <t>Minimum cash balance maintained ($)</t>
        </is>
      </c>
      <c r="G38" s="41">
        <f>MIN('Monthly Model'!AD4:AD63)</f>
        <v/>
      </c>
    </row>
    <row r="39" ht="15" customHeight="1" s="85">
      <c r="A39" s="46" t="n"/>
      <c r="B39" s="32" t="n"/>
      <c r="C39" s="82" t="n"/>
      <c r="D39" s="36" t="n"/>
      <c r="E39" s="38" t="n"/>
      <c r="F39" s="38" t="n"/>
      <c r="G39" s="83" t="n"/>
      <c r="H39" s="83" t="n"/>
      <c r="I39" s="41" t="n"/>
    </row>
    <row r="40" ht="15" customHeight="1" s="85">
      <c r="A40" s="127" t="inlineStr">
        <is>
          <t xml:space="preserve">  HOW TO READ THIS</t>
        </is>
      </c>
    </row>
    <row r="41" ht="15" customHeight="1" s="85">
      <c r="A41" s="130" t="inlineStr">
        <is>
          <t xml:space="preserve">  • Equity is raised at most once per year (start of each fiscal year), sized with a 12-month look-ahead so cash never dips below the minimum buffer before the next raise — no mid-year top-ups.</t>
        </is>
      </c>
    </row>
    <row r="42" ht="15" customHeight="1" s="85">
      <c r="A42" s="130" t="inlineStr">
        <is>
          <t xml:space="preserve">  • Facility increases are separate from equity raises and can happen more often: negotiate the upsize with your warehouse lender 2-3 months before the quarter shown, since credit facility amendments take time to arrange.</t>
        </is>
      </c>
    </row>
    <row r="43" ht="15" customHeight="1" s="85">
      <c r="A43" s="130" t="inlineStr">
        <is>
          <t xml:space="preserve">  • See the Monthly Model and Cash &amp; Raises sheets for the full month-by-month detail behind these quarterly totals.</t>
        </is>
      </c>
    </row>
    <row r="44" ht="15" customHeight="1" s="85">
      <c r="A44" s="46" t="n"/>
      <c r="B44" s="32" t="n"/>
      <c r="C44" s="82" t="n"/>
      <c r="D44" s="36" t="n"/>
      <c r="E44" s="38" t="n"/>
      <c r="F44" s="38" t="n"/>
      <c r="G44" s="83" t="n"/>
      <c r="H44" s="83" t="n"/>
      <c r="I44" s="41" t="n"/>
    </row>
    <row r="45" ht="15" customHeight="1" s="85">
      <c r="A45" s="46" t="n"/>
      <c r="B45" s="32" t="n"/>
      <c r="C45" s="82" t="n"/>
      <c r="D45" s="36" t="n"/>
      <c r="E45" s="38" t="n"/>
      <c r="F45" s="38" t="n"/>
      <c r="G45" s="83" t="n"/>
      <c r="H45" s="83" t="n"/>
      <c r="I45" s="41" t="n"/>
    </row>
    <row r="46" ht="15" customHeight="1" s="85">
      <c r="A46" s="46" t="n"/>
      <c r="B46" s="32" t="n"/>
      <c r="C46" s="82" t="n"/>
      <c r="D46" s="36" t="n"/>
      <c r="E46" s="38" t="n"/>
      <c r="F46" s="38" t="n"/>
      <c r="G46" s="83" t="n"/>
      <c r="H46" s="83" t="n"/>
      <c r="I46" s="41" t="n"/>
    </row>
    <row r="47" ht="15" customHeight="1" s="85">
      <c r="A47" s="46" t="n"/>
      <c r="B47" s="32" t="n"/>
      <c r="C47" s="82" t="n"/>
      <c r="D47" s="36" t="n"/>
      <c r="E47" s="38" t="n"/>
      <c r="F47" s="38" t="n"/>
      <c r="G47" s="83" t="n"/>
      <c r="H47" s="83" t="n"/>
      <c r="I47" s="41" t="n"/>
    </row>
    <row r="48" ht="15" customHeight="1" s="85">
      <c r="A48" s="46" t="n"/>
      <c r="B48" s="32" t="n"/>
      <c r="C48" s="82" t="n"/>
      <c r="D48" s="36" t="n"/>
      <c r="E48" s="38" t="n"/>
      <c r="F48" s="38" t="n"/>
      <c r="G48" s="83" t="n"/>
      <c r="H48" s="83" t="n"/>
      <c r="I48" s="41" t="n"/>
    </row>
    <row r="49" ht="15" customHeight="1" s="85">
      <c r="A49" s="46" t="n"/>
      <c r="B49" s="32" t="n"/>
      <c r="C49" s="82" t="n"/>
      <c r="D49" s="36" t="n"/>
      <c r="E49" s="38" t="n"/>
      <c r="F49" s="38" t="n"/>
      <c r="G49" s="83" t="n"/>
      <c r="H49" s="83" t="n"/>
      <c r="I49" s="41" t="n"/>
    </row>
    <row r="50" ht="15" customHeight="1" s="85">
      <c r="A50" s="46" t="n"/>
      <c r="B50" s="32" t="n"/>
      <c r="C50" s="82" t="n"/>
      <c r="D50" s="36" t="n"/>
      <c r="E50" s="38" t="n"/>
      <c r="F50" s="38" t="n"/>
      <c r="G50" s="83" t="n"/>
      <c r="H50" s="83" t="n"/>
      <c r="I50" s="41" t="n"/>
    </row>
    <row r="51" ht="15" customHeight="1" s="85">
      <c r="A51" s="46" t="n"/>
      <c r="B51" s="32" t="n"/>
      <c r="C51" s="82" t="n"/>
      <c r="D51" s="36" t="n"/>
      <c r="E51" s="38" t="n"/>
      <c r="F51" s="38" t="n"/>
      <c r="G51" s="83" t="n"/>
      <c r="H51" s="83" t="n"/>
      <c r="I51" s="41" t="n"/>
    </row>
    <row r="52" ht="15" customHeight="1" s="85">
      <c r="A52" s="46" t="n"/>
      <c r="B52" s="32" t="n"/>
      <c r="C52" s="82" t="n"/>
      <c r="D52" s="36" t="n"/>
      <c r="E52" s="38" t="n"/>
      <c r="F52" s="38" t="n"/>
      <c r="G52" s="83" t="n"/>
      <c r="H52" s="83" t="n"/>
      <c r="I52" s="41" t="n"/>
    </row>
    <row r="53" ht="15" customHeight="1" s="85">
      <c r="A53" s="46" t="n"/>
      <c r="B53" s="32" t="n"/>
      <c r="C53" s="82" t="n"/>
      <c r="D53" s="36" t="n"/>
      <c r="E53" s="38" t="n"/>
      <c r="F53" s="38" t="n"/>
      <c r="G53" s="83" t="n"/>
      <c r="H53" s="83" t="n"/>
      <c r="I53" s="41" t="n"/>
    </row>
    <row r="54" ht="15" customHeight="1" s="85">
      <c r="A54" s="46" t="n"/>
      <c r="B54" s="32" t="n"/>
      <c r="C54" s="82" t="n"/>
      <c r="D54" s="36" t="n"/>
      <c r="E54" s="38" t="n"/>
      <c r="F54" s="38" t="n"/>
      <c r="G54" s="83" t="n"/>
      <c r="H54" s="83" t="n"/>
      <c r="I54" s="41" t="n"/>
    </row>
    <row r="55" ht="15" customHeight="1" s="85">
      <c r="A55" s="46" t="n"/>
      <c r="B55" s="32" t="n"/>
      <c r="C55" s="82" t="n"/>
      <c r="D55" s="36" t="n"/>
      <c r="E55" s="38" t="n"/>
      <c r="F55" s="38" t="n"/>
      <c r="G55" s="83" t="n"/>
      <c r="H55" s="83" t="n"/>
      <c r="I55" s="41" t="n"/>
    </row>
    <row r="56" ht="15" customHeight="1" s="85">
      <c r="A56" s="46" t="n"/>
      <c r="B56" s="32" t="n"/>
      <c r="C56" s="82" t="n"/>
      <c r="D56" s="36" t="n"/>
      <c r="E56" s="38" t="n"/>
      <c r="F56" s="38" t="n"/>
      <c r="G56" s="83" t="n"/>
      <c r="H56" s="83" t="n"/>
      <c r="I56" s="41" t="n"/>
    </row>
    <row r="57" ht="15" customHeight="1" s="85">
      <c r="A57" s="46" t="n"/>
      <c r="B57" s="32" t="n"/>
      <c r="C57" s="82" t="n"/>
      <c r="D57" s="36" t="n"/>
      <c r="E57" s="38" t="n"/>
      <c r="F57" s="38" t="n"/>
      <c r="G57" s="83" t="n"/>
      <c r="H57" s="83" t="n"/>
      <c r="I57" s="41" t="n"/>
    </row>
    <row r="58" ht="15" customHeight="1" s="85">
      <c r="A58" s="46" t="n"/>
      <c r="B58" s="32" t="n"/>
      <c r="C58" s="82" t="n"/>
      <c r="D58" s="36" t="n"/>
      <c r="E58" s="38" t="n"/>
      <c r="F58" s="38" t="n"/>
      <c r="G58" s="83" t="n"/>
      <c r="H58" s="83" t="n"/>
      <c r="I58" s="41" t="n"/>
    </row>
    <row r="59" ht="15" customHeight="1" s="85">
      <c r="A59" s="46" t="n"/>
      <c r="B59" s="32" t="n"/>
      <c r="C59" s="82" t="n"/>
      <c r="D59" s="36" t="n"/>
      <c r="E59" s="38" t="n"/>
      <c r="F59" s="38" t="n"/>
      <c r="G59" s="83" t="n"/>
      <c r="H59" s="83" t="n"/>
      <c r="I59" s="41" t="n"/>
    </row>
    <row r="60" ht="15" customHeight="1" s="85">
      <c r="A60" s="46" t="n"/>
      <c r="B60" s="32" t="n"/>
      <c r="C60" s="82" t="n"/>
      <c r="D60" s="36" t="n"/>
      <c r="E60" s="38" t="n"/>
      <c r="F60" s="38" t="n"/>
      <c r="G60" s="83" t="n"/>
      <c r="H60" s="83" t="n"/>
      <c r="I60" s="41" t="n"/>
    </row>
    <row r="61" ht="15" customHeight="1" s="85">
      <c r="A61" s="46" t="n"/>
      <c r="B61" s="32" t="n"/>
      <c r="C61" s="82" t="n"/>
      <c r="D61" s="36" t="n"/>
      <c r="E61" s="38" t="n"/>
      <c r="F61" s="38" t="n"/>
      <c r="G61" s="83" t="n"/>
      <c r="H61" s="83" t="n"/>
      <c r="I61" s="41" t="n"/>
    </row>
    <row r="62" ht="15" customHeight="1" s="85">
      <c r="A62" s="46" t="n"/>
      <c r="B62" s="32" t="n"/>
      <c r="C62" s="82" t="n"/>
      <c r="D62" s="36" t="n"/>
      <c r="E62" s="38" t="n"/>
      <c r="F62" s="38" t="n"/>
      <c r="G62" s="83" t="n"/>
      <c r="H62" s="83" t="n"/>
      <c r="I62" s="41" t="n"/>
    </row>
    <row r="63" ht="15" customHeight="1" s="85">
      <c r="A63" s="46" t="n"/>
      <c r="B63" s="32" t="n"/>
      <c r="C63" s="82" t="n"/>
      <c r="D63" s="36" t="n"/>
      <c r="E63" s="38" t="n"/>
      <c r="F63" s="38" t="n"/>
      <c r="G63" s="83" t="n"/>
      <c r="H63" s="83" t="n"/>
      <c r="I63" s="41" t="n"/>
    </row>
    <row r="64" ht="15" customHeight="1" s="85">
      <c r="A64" s="46" t="n"/>
      <c r="B64" s="32" t="n"/>
      <c r="C64" s="82" t="n"/>
      <c r="D64" s="36" t="n"/>
      <c r="E64" s="38" t="n"/>
      <c r="F64" s="38" t="n"/>
      <c r="G64" s="83" t="n"/>
      <c r="H64" s="83" t="n"/>
      <c r="I64" s="41" t="n"/>
    </row>
    <row r="65" ht="15.75" customHeight="1" s="85">
      <c r="A65" s="4" t="n"/>
      <c r="B65" s="4" t="n"/>
      <c r="C65" s="4" t="n"/>
      <c r="D65" s="4" t="n"/>
      <c r="E65" s="4" t="n"/>
      <c r="F65" s="4" t="n"/>
      <c r="G65" s="4" t="n"/>
      <c r="H65" s="4" t="n"/>
      <c r="I65" s="4" t="n"/>
    </row>
    <row r="66" ht="16.5" customHeight="1" s="85">
      <c r="A66" s="27" t="n"/>
    </row>
    <row r="67" ht="16.5" customHeight="1" s="85">
      <c r="A67" s="24" t="n"/>
      <c r="F67" s="71" t="n"/>
    </row>
    <row r="68" ht="16.5" customHeight="1" s="85">
      <c r="A68" s="24" t="n"/>
      <c r="F68" s="71" t="n"/>
    </row>
    <row r="69" ht="16.5" customHeight="1" s="85">
      <c r="A69" s="24" t="n"/>
      <c r="F69" s="71" t="n"/>
    </row>
    <row r="70" ht="16.5" customHeight="1" s="85">
      <c r="A70" s="24" t="n"/>
      <c r="F70" s="84" t="n"/>
    </row>
    <row r="71" ht="16.5" customHeight="1" s="85">
      <c r="A71" s="24" t="n"/>
      <c r="F71" s="84" t="n"/>
    </row>
    <row r="72" ht="15.75" customHeight="1" s="85">
      <c r="A72" s="4" t="n"/>
      <c r="B72" s="4" t="n"/>
      <c r="C72" s="4" t="n"/>
      <c r="D72" s="4" t="n"/>
      <c r="E72" s="4" t="n"/>
      <c r="F72" s="4" t="n"/>
      <c r="G72" s="4" t="n"/>
      <c r="H72" s="4" t="n"/>
      <c r="I72" s="4" t="n"/>
    </row>
    <row r="73" ht="15.75" customHeight="1" s="85">
      <c r="A73" s="4" t="n"/>
      <c r="B73" s="4" t="n"/>
      <c r="C73" s="4" t="n"/>
      <c r="D73" s="4" t="n"/>
      <c r="E73" s="4" t="n"/>
      <c r="F73" s="4" t="n"/>
      <c r="G73" s="4" t="n"/>
      <c r="H73" s="4" t="n"/>
      <c r="I73" s="4" t="n"/>
    </row>
    <row r="74" ht="15.75" customHeight="1" s="85">
      <c r="A74" s="4" t="n"/>
      <c r="B74" s="4" t="n"/>
      <c r="C74" s="4" t="n"/>
      <c r="D74" s="4" t="n"/>
      <c r="E74" s="4" t="n"/>
      <c r="F74" s="4" t="n"/>
      <c r="G74" s="4" t="n"/>
      <c r="H74" s="4" t="n"/>
      <c r="I74" s="4" t="n"/>
    </row>
    <row r="75" ht="15.75" customHeight="1" s="85">
      <c r="A75" s="4" t="n"/>
      <c r="B75" s="4" t="n"/>
      <c r="C75" s="4" t="n"/>
      <c r="D75" s="4" t="n"/>
      <c r="E75" s="4" t="n"/>
      <c r="F75" s="4" t="n"/>
      <c r="G75" s="4" t="n"/>
      <c r="H75" s="4" t="n"/>
      <c r="I75" s="4" t="n"/>
    </row>
    <row r="76" ht="15.75" customHeight="1" s="85">
      <c r="A76" s="4" t="n"/>
      <c r="B76" s="4" t="n"/>
      <c r="C76" s="4" t="n"/>
      <c r="D76" s="4" t="n"/>
      <c r="E76" s="4" t="n"/>
      <c r="F76" s="4" t="n"/>
      <c r="G76" s="4" t="n"/>
      <c r="H76" s="4" t="n"/>
      <c r="I76" s="4" t="n"/>
    </row>
    <row r="77" ht="15.75" customHeight="1" s="85">
      <c r="A77" s="4" t="n"/>
      <c r="B77" s="4" t="n"/>
      <c r="C77" s="4" t="n"/>
      <c r="D77" s="4" t="n"/>
      <c r="E77" s="4" t="n"/>
      <c r="F77" s="4" t="n"/>
      <c r="G77" s="4" t="n"/>
      <c r="H77" s="4" t="n"/>
      <c r="I77" s="4" t="n"/>
    </row>
    <row r="78" ht="15.75" customHeight="1" s="85">
      <c r="A78" s="4" t="n"/>
      <c r="B78" s="4" t="n"/>
      <c r="C78" s="4" t="n"/>
      <c r="D78" s="4" t="n"/>
      <c r="E78" s="4" t="n"/>
      <c r="F78" s="4" t="n"/>
      <c r="G78" s="4" t="n"/>
      <c r="H78" s="4" t="n"/>
      <c r="I78" s="4" t="n"/>
    </row>
    <row r="79" ht="15.75" customHeight="1" s="85">
      <c r="A79" s="4" t="n"/>
      <c r="B79" s="4" t="n"/>
      <c r="C79" s="4" t="n"/>
      <c r="D79" s="4" t="n"/>
      <c r="E79" s="4" t="n"/>
      <c r="F79" s="4" t="n"/>
      <c r="G79" s="4" t="n"/>
      <c r="H79" s="4" t="n"/>
      <c r="I79" s="4" t="n"/>
    </row>
    <row r="80" ht="15.75" customHeight="1" s="85">
      <c r="A80" s="4" t="n"/>
      <c r="B80" s="4" t="n"/>
      <c r="C80" s="4" t="n"/>
      <c r="D80" s="4" t="n"/>
      <c r="E80" s="4" t="n"/>
      <c r="F80" s="4" t="n"/>
      <c r="G80" s="4" t="n"/>
      <c r="H80" s="4" t="n"/>
      <c r="I80" s="4" t="n"/>
    </row>
    <row r="81" ht="15.75" customHeight="1" s="85">
      <c r="A81" s="4" t="n"/>
      <c r="B81" s="4" t="n"/>
      <c r="C81" s="4" t="n"/>
      <c r="D81" s="4" t="n"/>
      <c r="E81" s="4" t="n"/>
      <c r="F81" s="4" t="n"/>
      <c r="G81" s="4" t="n"/>
      <c r="H81" s="4" t="n"/>
      <c r="I81" s="4" t="n"/>
    </row>
    <row r="82" ht="15.75" customHeight="1" s="85">
      <c r="A82" s="4" t="n"/>
      <c r="B82" s="4" t="n"/>
      <c r="C82" s="4" t="n"/>
      <c r="D82" s="4" t="n"/>
      <c r="E82" s="4" t="n"/>
      <c r="F82" s="4" t="n"/>
      <c r="G82" s="4" t="n"/>
      <c r="H82" s="4" t="n"/>
      <c r="I82" s="4" t="n"/>
    </row>
    <row r="83" ht="15.75" customHeight="1" s="85">
      <c r="A83" s="4" t="n"/>
      <c r="B83" s="4" t="n"/>
      <c r="C83" s="4" t="n"/>
      <c r="D83" s="4" t="n"/>
      <c r="E83" s="4" t="n"/>
      <c r="F83" s="4" t="n"/>
      <c r="G83" s="4" t="n"/>
      <c r="H83" s="4" t="n"/>
      <c r="I83" s="4" t="n"/>
    </row>
    <row r="84" ht="15.75" customHeight="1" s="85">
      <c r="A84" s="4" t="n"/>
      <c r="B84" s="4" t="n"/>
      <c r="C84" s="4" t="n"/>
      <c r="D84" s="4" t="n"/>
      <c r="E84" s="4" t="n"/>
      <c r="F84" s="4" t="n"/>
      <c r="G84" s="4" t="n"/>
      <c r="H84" s="4" t="n"/>
      <c r="I84" s="4" t="n"/>
    </row>
    <row r="85" ht="15.75" customHeight="1" s="85">
      <c r="A85" s="4" t="n"/>
      <c r="B85" s="4" t="n"/>
      <c r="C85" s="4" t="n"/>
      <c r="D85" s="4" t="n"/>
      <c r="E85" s="4" t="n"/>
      <c r="F85" s="4" t="n"/>
      <c r="G85" s="4" t="n"/>
      <c r="H85" s="4" t="n"/>
      <c r="I85" s="4" t="n"/>
    </row>
    <row r="86" ht="15.75" customHeight="1" s="85">
      <c r="A86" s="4" t="n"/>
      <c r="B86" s="4" t="n"/>
      <c r="C86" s="4" t="n"/>
      <c r="D86" s="4" t="n"/>
      <c r="E86" s="4" t="n"/>
      <c r="F86" s="4" t="n"/>
      <c r="G86" s="4" t="n"/>
      <c r="H86" s="4" t="n"/>
      <c r="I86" s="4" t="n"/>
    </row>
    <row r="87" ht="15.75" customHeight="1" s="85">
      <c r="A87" s="4" t="n"/>
      <c r="B87" s="4" t="n"/>
      <c r="C87" s="4" t="n"/>
      <c r="D87" s="4" t="n"/>
      <c r="E87" s="4" t="n"/>
      <c r="F87" s="4" t="n"/>
      <c r="G87" s="4" t="n"/>
      <c r="H87" s="4" t="n"/>
      <c r="I87" s="4" t="n"/>
    </row>
    <row r="88" ht="15.75" customHeight="1" s="85">
      <c r="A88" s="4" t="n"/>
      <c r="B88" s="4" t="n"/>
      <c r="C88" s="4" t="n"/>
      <c r="D88" s="4" t="n"/>
      <c r="E88" s="4" t="n"/>
      <c r="F88" s="4" t="n"/>
      <c r="G88" s="4" t="n"/>
      <c r="H88" s="4" t="n"/>
      <c r="I88" s="4" t="n"/>
    </row>
    <row r="89" ht="15.75" customHeight="1" s="85">
      <c r="A89" s="4" t="n"/>
      <c r="B89" s="4" t="n"/>
      <c r="C89" s="4" t="n"/>
      <c r="D89" s="4" t="n"/>
      <c r="E89" s="4" t="n"/>
      <c r="F89" s="4" t="n"/>
      <c r="G89" s="4" t="n"/>
      <c r="H89" s="4" t="n"/>
      <c r="I89" s="4" t="n"/>
    </row>
    <row r="90" ht="15.75" customHeight="1" s="85">
      <c r="A90" s="4" t="n"/>
      <c r="B90" s="4" t="n"/>
      <c r="C90" s="4" t="n"/>
      <c r="D90" s="4" t="n"/>
      <c r="E90" s="4" t="n"/>
      <c r="F90" s="4" t="n"/>
      <c r="G90" s="4" t="n"/>
      <c r="H90" s="4" t="n"/>
      <c r="I90" s="4" t="n"/>
    </row>
    <row r="91" ht="15.75" customHeight="1" s="85">
      <c r="A91" s="4" t="n"/>
      <c r="B91" s="4" t="n"/>
      <c r="C91" s="4" t="n"/>
      <c r="D91" s="4" t="n"/>
      <c r="E91" s="4" t="n"/>
      <c r="F91" s="4" t="n"/>
      <c r="G91" s="4" t="n"/>
      <c r="H91" s="4" t="n"/>
      <c r="I91" s="4" t="n"/>
    </row>
    <row r="92" ht="15.75" customHeight="1" s="85">
      <c r="A92" s="4" t="n"/>
      <c r="B92" s="4" t="n"/>
      <c r="C92" s="4" t="n"/>
      <c r="D92" s="4" t="n"/>
      <c r="E92" s="4" t="n"/>
      <c r="F92" s="4" t="n"/>
      <c r="G92" s="4" t="n"/>
      <c r="H92" s="4" t="n"/>
      <c r="I92" s="4" t="n"/>
    </row>
    <row r="93" ht="15.75" customHeight="1" s="85">
      <c r="A93" s="4" t="n"/>
      <c r="B93" s="4" t="n"/>
      <c r="C93" s="4" t="n"/>
      <c r="D93" s="4" t="n"/>
      <c r="E93" s="4" t="n"/>
      <c r="F93" s="4" t="n"/>
      <c r="G93" s="4" t="n"/>
      <c r="H93" s="4" t="n"/>
      <c r="I93" s="4" t="n"/>
    </row>
    <row r="94" ht="15.75" customHeight="1" s="85">
      <c r="A94" s="4" t="n"/>
      <c r="B94" s="4" t="n"/>
      <c r="C94" s="4" t="n"/>
      <c r="D94" s="4" t="n"/>
      <c r="E94" s="4" t="n"/>
      <c r="F94" s="4" t="n"/>
      <c r="G94" s="4" t="n"/>
      <c r="H94" s="4" t="n"/>
      <c r="I94" s="4" t="n"/>
    </row>
    <row r="95" ht="15.75" customHeight="1" s="85">
      <c r="A95" s="4" t="n"/>
      <c r="B95" s="4" t="n"/>
      <c r="C95" s="4" t="n"/>
      <c r="D95" s="4" t="n"/>
      <c r="E95" s="4" t="n"/>
      <c r="F95" s="4" t="n"/>
      <c r="G95" s="4" t="n"/>
      <c r="H95" s="4" t="n"/>
      <c r="I95" s="4" t="n"/>
    </row>
    <row r="96" ht="15.75" customHeight="1" s="85">
      <c r="A96" s="4" t="n"/>
      <c r="B96" s="4" t="n"/>
      <c r="C96" s="4" t="n"/>
      <c r="D96" s="4" t="n"/>
      <c r="E96" s="4" t="n"/>
      <c r="F96" s="4" t="n"/>
      <c r="G96" s="4" t="n"/>
      <c r="H96" s="4" t="n"/>
      <c r="I96" s="4" t="n"/>
    </row>
    <row r="97" ht="15.75" customHeight="1" s="85">
      <c r="A97" s="4" t="n"/>
      <c r="B97" s="4" t="n"/>
      <c r="C97" s="4" t="n"/>
      <c r="D97" s="4" t="n"/>
      <c r="E97" s="4" t="n"/>
      <c r="F97" s="4" t="n"/>
      <c r="G97" s="4" t="n"/>
      <c r="H97" s="4" t="n"/>
      <c r="I97" s="4" t="n"/>
    </row>
    <row r="98" ht="15.75" customHeight="1" s="85">
      <c r="A98" s="4" t="n"/>
      <c r="B98" s="4" t="n"/>
      <c r="C98" s="4" t="n"/>
      <c r="D98" s="4" t="n"/>
      <c r="E98" s="4" t="n"/>
      <c r="F98" s="4" t="n"/>
      <c r="G98" s="4" t="n"/>
      <c r="H98" s="4" t="n"/>
      <c r="I98" s="4" t="n"/>
    </row>
    <row r="99" ht="15.75" customHeight="1" s="85">
      <c r="A99" s="4" t="n"/>
      <c r="B99" s="4" t="n"/>
      <c r="C99" s="4" t="n"/>
      <c r="D99" s="4" t="n"/>
      <c r="E99" s="4" t="n"/>
      <c r="F99" s="4" t="n"/>
      <c r="G99" s="4" t="n"/>
      <c r="H99" s="4" t="n"/>
      <c r="I99" s="4" t="n"/>
    </row>
    <row r="100" ht="15.75" customHeight="1" s="85">
      <c r="A100" s="4" t="n"/>
      <c r="B100" s="4" t="n"/>
      <c r="C100" s="4" t="n"/>
      <c r="D100" s="4" t="n"/>
      <c r="E100" s="4" t="n"/>
      <c r="F100" s="4" t="n"/>
      <c r="G100" s="4" t="n"/>
      <c r="H100" s="4" t="n"/>
      <c r="I100" s="4" t="n"/>
    </row>
    <row r="101" ht="15.75" customHeight="1" s="85">
      <c r="A101" s="4" t="n"/>
      <c r="B101" s="4" t="n"/>
      <c r="C101" s="4" t="n"/>
      <c r="D101" s="4" t="n"/>
      <c r="E101" s="4" t="n"/>
      <c r="F101" s="4" t="n"/>
      <c r="G101" s="4" t="n"/>
      <c r="H101" s="4" t="n"/>
      <c r="I101" s="4" t="n"/>
    </row>
    <row r="102" ht="15.75" customHeight="1" s="85">
      <c r="A102" s="4" t="n"/>
      <c r="B102" s="4" t="n"/>
      <c r="C102" s="4" t="n"/>
      <c r="D102" s="4" t="n"/>
      <c r="E102" s="4" t="n"/>
      <c r="F102" s="4" t="n"/>
      <c r="G102" s="4" t="n"/>
      <c r="H102" s="4" t="n"/>
      <c r="I102" s="4" t="n"/>
    </row>
    <row r="103" ht="15.75" customHeight="1" s="85">
      <c r="A103" s="4" t="n"/>
      <c r="B103" s="4" t="n"/>
      <c r="C103" s="4" t="n"/>
      <c r="D103" s="4" t="n"/>
      <c r="E103" s="4" t="n"/>
      <c r="F103" s="4" t="n"/>
      <c r="G103" s="4" t="n"/>
      <c r="H103" s="4" t="n"/>
      <c r="I103" s="4" t="n"/>
    </row>
    <row r="104" ht="15.75" customHeight="1" s="85">
      <c r="A104" s="4" t="n"/>
      <c r="B104" s="4" t="n"/>
      <c r="C104" s="4" t="n"/>
      <c r="D104" s="4" t="n"/>
      <c r="E104" s="4" t="n"/>
      <c r="F104" s="4" t="n"/>
      <c r="G104" s="4" t="n"/>
      <c r="H104" s="4" t="n"/>
      <c r="I104" s="4" t="n"/>
    </row>
    <row r="105" ht="15.75" customHeight="1" s="85">
      <c r="A105" s="4" t="n"/>
      <c r="B105" s="4" t="n"/>
      <c r="C105" s="4" t="n"/>
      <c r="D105" s="4" t="n"/>
      <c r="E105" s="4" t="n"/>
      <c r="F105" s="4" t="n"/>
      <c r="G105" s="4" t="n"/>
      <c r="H105" s="4" t="n"/>
      <c r="I105" s="4" t="n"/>
    </row>
    <row r="106" ht="15.75" customHeight="1" s="85">
      <c r="A106" s="4" t="n"/>
      <c r="B106" s="4" t="n"/>
      <c r="C106" s="4" t="n"/>
      <c r="D106" s="4" t="n"/>
      <c r="E106" s="4" t="n"/>
      <c r="F106" s="4" t="n"/>
      <c r="G106" s="4" t="n"/>
      <c r="H106" s="4" t="n"/>
      <c r="I106" s="4" t="n"/>
    </row>
    <row r="107" ht="15.75" customHeight="1" s="85">
      <c r="A107" s="4" t="n"/>
      <c r="B107" s="4" t="n"/>
      <c r="C107" s="4" t="n"/>
      <c r="D107" s="4" t="n"/>
      <c r="E107" s="4" t="n"/>
      <c r="F107" s="4" t="n"/>
      <c r="G107" s="4" t="n"/>
      <c r="H107" s="4" t="n"/>
      <c r="I107" s="4" t="n"/>
    </row>
    <row r="108" ht="15.75" customHeight="1" s="85">
      <c r="A108" s="4" t="n"/>
      <c r="B108" s="4" t="n"/>
      <c r="C108" s="4" t="n"/>
      <c r="D108" s="4" t="n"/>
      <c r="E108" s="4" t="n"/>
      <c r="F108" s="4" t="n"/>
      <c r="G108" s="4" t="n"/>
      <c r="H108" s="4" t="n"/>
      <c r="I108" s="4" t="n"/>
    </row>
    <row r="109" ht="15.75" customHeight="1" s="85">
      <c r="A109" s="4" t="n"/>
      <c r="B109" s="4" t="n"/>
      <c r="C109" s="4" t="n"/>
      <c r="D109" s="4" t="n"/>
      <c r="E109" s="4" t="n"/>
      <c r="F109" s="4" t="n"/>
      <c r="G109" s="4" t="n"/>
      <c r="H109" s="4" t="n"/>
      <c r="I109" s="4" t="n"/>
    </row>
    <row r="110" ht="15.75" customHeight="1" s="85">
      <c r="A110" s="4" t="n"/>
      <c r="B110" s="4" t="n"/>
      <c r="C110" s="4" t="n"/>
      <c r="D110" s="4" t="n"/>
      <c r="E110" s="4" t="n"/>
      <c r="F110" s="4" t="n"/>
      <c r="G110" s="4" t="n"/>
      <c r="H110" s="4" t="n"/>
      <c r="I110" s="4" t="n"/>
    </row>
    <row r="111" ht="15.75" customHeight="1" s="85">
      <c r="A111" s="4" t="n"/>
      <c r="B111" s="4" t="n"/>
      <c r="C111" s="4" t="n"/>
      <c r="D111" s="4" t="n"/>
      <c r="E111" s="4" t="n"/>
      <c r="F111" s="4" t="n"/>
      <c r="G111" s="4" t="n"/>
      <c r="H111" s="4" t="n"/>
      <c r="I111" s="4" t="n"/>
    </row>
    <row r="112" ht="15.75" customHeight="1" s="85">
      <c r="A112" s="4" t="n"/>
      <c r="B112" s="4" t="n"/>
      <c r="C112" s="4" t="n"/>
      <c r="D112" s="4" t="n"/>
      <c r="E112" s="4" t="n"/>
      <c r="F112" s="4" t="n"/>
      <c r="G112" s="4" t="n"/>
      <c r="H112" s="4" t="n"/>
      <c r="I112" s="4" t="n"/>
    </row>
    <row r="113" ht="15.75" customHeight="1" s="85">
      <c r="A113" s="4" t="n"/>
      <c r="B113" s="4" t="n"/>
      <c r="C113" s="4" t="n"/>
      <c r="D113" s="4" t="n"/>
      <c r="E113" s="4" t="n"/>
      <c r="F113" s="4" t="n"/>
      <c r="G113" s="4" t="n"/>
      <c r="H113" s="4" t="n"/>
      <c r="I113" s="4" t="n"/>
    </row>
    <row r="114" ht="15.75" customHeight="1" s="85">
      <c r="A114" s="4" t="n"/>
      <c r="B114" s="4" t="n"/>
      <c r="C114" s="4" t="n"/>
      <c r="D114" s="4" t="n"/>
      <c r="E114" s="4" t="n"/>
      <c r="F114" s="4" t="n"/>
      <c r="G114" s="4" t="n"/>
      <c r="H114" s="4" t="n"/>
      <c r="I114" s="4" t="n"/>
    </row>
    <row r="115" ht="15.75" customHeight="1" s="85">
      <c r="A115" s="4" t="n"/>
      <c r="B115" s="4" t="n"/>
      <c r="C115" s="4" t="n"/>
      <c r="D115" s="4" t="n"/>
      <c r="E115" s="4" t="n"/>
      <c r="F115" s="4" t="n"/>
      <c r="G115" s="4" t="n"/>
      <c r="H115" s="4" t="n"/>
      <c r="I115" s="4" t="n"/>
    </row>
    <row r="116" ht="15.75" customHeight="1" s="85">
      <c r="A116" s="4" t="n"/>
      <c r="B116" s="4" t="n"/>
      <c r="C116" s="4" t="n"/>
      <c r="D116" s="4" t="n"/>
      <c r="E116" s="4" t="n"/>
      <c r="F116" s="4" t="n"/>
      <c r="G116" s="4" t="n"/>
      <c r="H116" s="4" t="n"/>
      <c r="I116" s="4" t="n"/>
    </row>
    <row r="117" ht="15.75" customHeight="1" s="85">
      <c r="A117" s="4" t="n"/>
      <c r="B117" s="4" t="n"/>
      <c r="C117" s="4" t="n"/>
      <c r="D117" s="4" t="n"/>
      <c r="E117" s="4" t="n"/>
      <c r="F117" s="4" t="n"/>
      <c r="G117" s="4" t="n"/>
      <c r="H117" s="4" t="n"/>
      <c r="I117" s="4" t="n"/>
    </row>
    <row r="118" ht="15.75" customHeight="1" s="85">
      <c r="A118" s="4" t="n"/>
      <c r="B118" s="4" t="n"/>
      <c r="C118" s="4" t="n"/>
      <c r="D118" s="4" t="n"/>
      <c r="E118" s="4" t="n"/>
      <c r="F118" s="4" t="n"/>
      <c r="G118" s="4" t="n"/>
      <c r="H118" s="4" t="n"/>
      <c r="I118" s="4" t="n"/>
    </row>
    <row r="119" ht="15.75" customHeight="1" s="85">
      <c r="A119" s="4" t="n"/>
      <c r="B119" s="4" t="n"/>
      <c r="C119" s="4" t="n"/>
      <c r="D119" s="4" t="n"/>
      <c r="E119" s="4" t="n"/>
      <c r="F119" s="4" t="n"/>
      <c r="G119" s="4" t="n"/>
      <c r="H119" s="4" t="n"/>
      <c r="I119" s="4" t="n"/>
    </row>
    <row r="120" ht="15.75" customHeight="1" s="85">
      <c r="A120" s="4" t="n"/>
      <c r="B120" s="4" t="n"/>
      <c r="C120" s="4" t="n"/>
      <c r="D120" s="4" t="n"/>
      <c r="E120" s="4" t="n"/>
      <c r="F120" s="4" t="n"/>
      <c r="G120" s="4" t="n"/>
      <c r="H120" s="4" t="n"/>
      <c r="I120" s="4" t="n"/>
    </row>
    <row r="121" ht="15.75" customHeight="1" s="85">
      <c r="A121" s="4" t="n"/>
      <c r="B121" s="4" t="n"/>
      <c r="C121" s="4" t="n"/>
      <c r="D121" s="4" t="n"/>
      <c r="E121" s="4" t="n"/>
      <c r="F121" s="4" t="n"/>
      <c r="G121" s="4" t="n"/>
      <c r="H121" s="4" t="n"/>
      <c r="I121" s="4" t="n"/>
    </row>
    <row r="122" ht="15.75" customHeight="1" s="85">
      <c r="A122" s="4" t="n"/>
      <c r="B122" s="4" t="n"/>
      <c r="C122" s="4" t="n"/>
      <c r="D122" s="4" t="n"/>
      <c r="E122" s="4" t="n"/>
      <c r="F122" s="4" t="n"/>
      <c r="G122" s="4" t="n"/>
      <c r="H122" s="4" t="n"/>
      <c r="I122" s="4" t="n"/>
    </row>
    <row r="123" ht="15.75" customHeight="1" s="85">
      <c r="A123" s="4" t="n"/>
      <c r="B123" s="4" t="n"/>
      <c r="C123" s="4" t="n"/>
      <c r="D123" s="4" t="n"/>
      <c r="E123" s="4" t="n"/>
      <c r="F123" s="4" t="n"/>
      <c r="G123" s="4" t="n"/>
      <c r="H123" s="4" t="n"/>
      <c r="I123" s="4" t="n"/>
    </row>
    <row r="124" ht="15.75" customHeight="1" s="85">
      <c r="A124" s="4" t="n"/>
      <c r="B124" s="4" t="n"/>
      <c r="C124" s="4" t="n"/>
      <c r="D124" s="4" t="n"/>
      <c r="E124" s="4" t="n"/>
      <c r="F124" s="4" t="n"/>
      <c r="G124" s="4" t="n"/>
      <c r="H124" s="4" t="n"/>
      <c r="I124" s="4" t="n"/>
    </row>
    <row r="125" ht="15.75" customHeight="1" s="85">
      <c r="A125" s="4" t="n"/>
      <c r="B125" s="4" t="n"/>
      <c r="C125" s="4" t="n"/>
      <c r="D125" s="4" t="n"/>
      <c r="E125" s="4" t="n"/>
      <c r="F125" s="4" t="n"/>
      <c r="G125" s="4" t="n"/>
      <c r="H125" s="4" t="n"/>
      <c r="I125" s="4" t="n"/>
    </row>
    <row r="126" ht="15.75" customHeight="1" s="85">
      <c r="A126" s="4" t="n"/>
      <c r="B126" s="4" t="n"/>
      <c r="C126" s="4" t="n"/>
      <c r="D126" s="4" t="n"/>
      <c r="E126" s="4" t="n"/>
      <c r="F126" s="4" t="n"/>
      <c r="G126" s="4" t="n"/>
      <c r="H126" s="4" t="n"/>
      <c r="I126" s="4" t="n"/>
    </row>
    <row r="127" ht="15.75" customHeight="1" s="85">
      <c r="A127" s="4" t="n"/>
      <c r="B127" s="4" t="n"/>
      <c r="C127" s="4" t="n"/>
      <c r="D127" s="4" t="n"/>
      <c r="E127" s="4" t="n"/>
      <c r="F127" s="4" t="n"/>
      <c r="G127" s="4" t="n"/>
      <c r="H127" s="4" t="n"/>
      <c r="I127" s="4" t="n"/>
    </row>
    <row r="128" ht="15.75" customHeight="1" s="85">
      <c r="A128" s="4" t="n"/>
      <c r="B128" s="4" t="n"/>
      <c r="C128" s="4" t="n"/>
      <c r="D128" s="4" t="n"/>
      <c r="E128" s="4" t="n"/>
      <c r="F128" s="4" t="n"/>
      <c r="G128" s="4" t="n"/>
      <c r="H128" s="4" t="n"/>
      <c r="I128" s="4" t="n"/>
    </row>
    <row r="129" ht="15.75" customHeight="1" s="85">
      <c r="A129" s="4" t="n"/>
      <c r="B129" s="4" t="n"/>
      <c r="C129" s="4" t="n"/>
      <c r="D129" s="4" t="n"/>
      <c r="E129" s="4" t="n"/>
      <c r="F129" s="4" t="n"/>
      <c r="G129" s="4" t="n"/>
      <c r="H129" s="4" t="n"/>
      <c r="I129" s="4" t="n"/>
    </row>
    <row r="130" ht="15.75" customHeight="1" s="85">
      <c r="A130" s="4" t="n"/>
      <c r="B130" s="4" t="n"/>
      <c r="C130" s="4" t="n"/>
      <c r="D130" s="4" t="n"/>
      <c r="E130" s="4" t="n"/>
      <c r="F130" s="4" t="n"/>
      <c r="G130" s="4" t="n"/>
      <c r="H130" s="4" t="n"/>
      <c r="I130" s="4" t="n"/>
    </row>
    <row r="131" ht="15.75" customHeight="1" s="85">
      <c r="A131" s="4" t="n"/>
      <c r="B131" s="4" t="n"/>
      <c r="C131" s="4" t="n"/>
      <c r="D131" s="4" t="n"/>
      <c r="E131" s="4" t="n"/>
      <c r="F131" s="4" t="n"/>
      <c r="G131" s="4" t="n"/>
      <c r="H131" s="4" t="n"/>
      <c r="I131" s="4" t="n"/>
    </row>
    <row r="132" ht="15.75" customHeight="1" s="85">
      <c r="A132" s="4" t="n"/>
      <c r="B132" s="4" t="n"/>
      <c r="C132" s="4" t="n"/>
      <c r="D132" s="4" t="n"/>
      <c r="E132" s="4" t="n"/>
      <c r="F132" s="4" t="n"/>
      <c r="G132" s="4" t="n"/>
      <c r="H132" s="4" t="n"/>
      <c r="I132" s="4" t="n"/>
    </row>
    <row r="133" ht="15.75" customHeight="1" s="85">
      <c r="A133" s="4" t="n"/>
      <c r="B133" s="4" t="n"/>
      <c r="C133" s="4" t="n"/>
      <c r="D133" s="4" t="n"/>
      <c r="E133" s="4" t="n"/>
      <c r="F133" s="4" t="n"/>
      <c r="G133" s="4" t="n"/>
      <c r="H133" s="4" t="n"/>
      <c r="I133" s="4" t="n"/>
    </row>
    <row r="134" ht="15.75" customHeight="1" s="85">
      <c r="A134" s="4" t="n"/>
      <c r="B134" s="4" t="n"/>
      <c r="C134" s="4" t="n"/>
      <c r="D134" s="4" t="n"/>
      <c r="E134" s="4" t="n"/>
      <c r="F134" s="4" t="n"/>
      <c r="G134" s="4" t="n"/>
      <c r="H134" s="4" t="n"/>
      <c r="I134" s="4" t="n"/>
    </row>
    <row r="135" ht="15.75" customHeight="1" s="85">
      <c r="A135" s="4" t="n"/>
      <c r="B135" s="4" t="n"/>
      <c r="C135" s="4" t="n"/>
      <c r="D135" s="4" t="n"/>
      <c r="E135" s="4" t="n"/>
      <c r="F135" s="4" t="n"/>
      <c r="G135" s="4" t="n"/>
      <c r="H135" s="4" t="n"/>
      <c r="I135" s="4" t="n"/>
    </row>
    <row r="136" ht="15.75" customHeight="1" s="85">
      <c r="A136" s="4" t="n"/>
      <c r="B136" s="4" t="n"/>
      <c r="C136" s="4" t="n"/>
      <c r="D136" s="4" t="n"/>
      <c r="E136" s="4" t="n"/>
      <c r="F136" s="4" t="n"/>
      <c r="G136" s="4" t="n"/>
      <c r="H136" s="4" t="n"/>
      <c r="I136" s="4" t="n"/>
    </row>
    <row r="137" ht="15.75" customHeight="1" s="85">
      <c r="A137" s="4" t="n"/>
      <c r="B137" s="4" t="n"/>
      <c r="C137" s="4" t="n"/>
      <c r="D137" s="4" t="n"/>
      <c r="E137" s="4" t="n"/>
      <c r="F137" s="4" t="n"/>
      <c r="G137" s="4" t="n"/>
      <c r="H137" s="4" t="n"/>
      <c r="I137" s="4" t="n"/>
    </row>
    <row r="138" ht="15.75" customHeight="1" s="85">
      <c r="A138" s="4" t="n"/>
      <c r="B138" s="4" t="n"/>
      <c r="C138" s="4" t="n"/>
      <c r="D138" s="4" t="n"/>
      <c r="E138" s="4" t="n"/>
      <c r="F138" s="4" t="n"/>
      <c r="G138" s="4" t="n"/>
      <c r="H138" s="4" t="n"/>
      <c r="I138" s="4" t="n"/>
    </row>
    <row r="139" ht="15.75" customHeight="1" s="85">
      <c r="A139" s="4" t="n"/>
      <c r="B139" s="4" t="n"/>
      <c r="C139" s="4" t="n"/>
      <c r="D139" s="4" t="n"/>
      <c r="E139" s="4" t="n"/>
      <c r="F139" s="4" t="n"/>
      <c r="G139" s="4" t="n"/>
      <c r="H139" s="4" t="n"/>
      <c r="I139" s="4" t="n"/>
    </row>
    <row r="140" ht="15.75" customHeight="1" s="85">
      <c r="A140" s="4" t="n"/>
      <c r="B140" s="4" t="n"/>
      <c r="C140" s="4" t="n"/>
      <c r="D140" s="4" t="n"/>
      <c r="E140" s="4" t="n"/>
      <c r="F140" s="4" t="n"/>
      <c r="G140" s="4" t="n"/>
      <c r="H140" s="4" t="n"/>
      <c r="I140" s="4" t="n"/>
    </row>
    <row r="141" ht="15.75" customHeight="1" s="85">
      <c r="A141" s="4" t="n"/>
      <c r="B141" s="4" t="n"/>
      <c r="C141" s="4" t="n"/>
      <c r="D141" s="4" t="n"/>
      <c r="E141" s="4" t="n"/>
      <c r="F141" s="4" t="n"/>
      <c r="G141" s="4" t="n"/>
      <c r="H141" s="4" t="n"/>
      <c r="I141" s="4" t="n"/>
    </row>
    <row r="142" ht="15.75" customHeight="1" s="85">
      <c r="A142" s="4" t="n"/>
      <c r="B142" s="4" t="n"/>
      <c r="C142" s="4" t="n"/>
      <c r="D142" s="4" t="n"/>
      <c r="E142" s="4" t="n"/>
      <c r="F142" s="4" t="n"/>
      <c r="G142" s="4" t="n"/>
      <c r="H142" s="4" t="n"/>
      <c r="I142" s="4" t="n"/>
    </row>
    <row r="143" ht="15.75" customHeight="1" s="85">
      <c r="A143" s="4" t="n"/>
      <c r="B143" s="4" t="n"/>
      <c r="C143" s="4" t="n"/>
      <c r="D143" s="4" t="n"/>
      <c r="E143" s="4" t="n"/>
      <c r="F143" s="4" t="n"/>
      <c r="G143" s="4" t="n"/>
      <c r="H143" s="4" t="n"/>
      <c r="I143" s="4" t="n"/>
    </row>
    <row r="144" ht="15.75" customHeight="1" s="85">
      <c r="A144" s="4" t="n"/>
      <c r="B144" s="4" t="n"/>
      <c r="C144" s="4" t="n"/>
      <c r="D144" s="4" t="n"/>
      <c r="E144" s="4" t="n"/>
      <c r="F144" s="4" t="n"/>
      <c r="G144" s="4" t="n"/>
      <c r="H144" s="4" t="n"/>
      <c r="I144" s="4" t="n"/>
    </row>
    <row r="145" ht="15.75" customHeight="1" s="85">
      <c r="A145" s="4" t="n"/>
      <c r="B145" s="4" t="n"/>
      <c r="C145" s="4" t="n"/>
      <c r="D145" s="4" t="n"/>
      <c r="E145" s="4" t="n"/>
      <c r="F145" s="4" t="n"/>
      <c r="G145" s="4" t="n"/>
      <c r="H145" s="4" t="n"/>
      <c r="I145" s="4" t="n"/>
    </row>
    <row r="146" ht="15.75" customHeight="1" s="85">
      <c r="A146" s="4" t="n"/>
      <c r="B146" s="4" t="n"/>
      <c r="C146" s="4" t="n"/>
      <c r="D146" s="4" t="n"/>
      <c r="E146" s="4" t="n"/>
      <c r="F146" s="4" t="n"/>
      <c r="G146" s="4" t="n"/>
      <c r="H146" s="4" t="n"/>
      <c r="I146" s="4" t="n"/>
    </row>
    <row r="147" ht="15.75" customHeight="1" s="85">
      <c r="A147" s="4" t="n"/>
      <c r="B147" s="4" t="n"/>
      <c r="C147" s="4" t="n"/>
      <c r="D147" s="4" t="n"/>
      <c r="E147" s="4" t="n"/>
      <c r="F147" s="4" t="n"/>
      <c r="G147" s="4" t="n"/>
      <c r="H147" s="4" t="n"/>
      <c r="I147" s="4" t="n"/>
    </row>
    <row r="148" ht="15.75" customHeight="1" s="85">
      <c r="A148" s="4" t="n"/>
      <c r="B148" s="4" t="n"/>
      <c r="C148" s="4" t="n"/>
      <c r="D148" s="4" t="n"/>
      <c r="E148" s="4" t="n"/>
      <c r="F148" s="4" t="n"/>
      <c r="G148" s="4" t="n"/>
      <c r="H148" s="4" t="n"/>
      <c r="I148" s="4" t="n"/>
    </row>
    <row r="149" ht="15.75" customHeight="1" s="85">
      <c r="A149" s="4" t="n"/>
      <c r="B149" s="4" t="n"/>
      <c r="C149" s="4" t="n"/>
      <c r="D149" s="4" t="n"/>
      <c r="E149" s="4" t="n"/>
      <c r="F149" s="4" t="n"/>
      <c r="G149" s="4" t="n"/>
      <c r="H149" s="4" t="n"/>
      <c r="I149" s="4" t="n"/>
    </row>
    <row r="150" ht="15.75" customHeight="1" s="85">
      <c r="A150" s="4" t="n"/>
      <c r="B150" s="4" t="n"/>
      <c r="C150" s="4" t="n"/>
      <c r="D150" s="4" t="n"/>
      <c r="E150" s="4" t="n"/>
      <c r="F150" s="4" t="n"/>
      <c r="G150" s="4" t="n"/>
      <c r="H150" s="4" t="n"/>
      <c r="I150" s="4" t="n"/>
    </row>
    <row r="151" ht="15.75" customHeight="1" s="85">
      <c r="A151" s="4" t="n"/>
      <c r="B151" s="4" t="n"/>
      <c r="C151" s="4" t="n"/>
      <c r="D151" s="4" t="n"/>
      <c r="E151" s="4" t="n"/>
      <c r="F151" s="4" t="n"/>
      <c r="G151" s="4" t="n"/>
      <c r="H151" s="4" t="n"/>
      <c r="I151" s="4" t="n"/>
    </row>
    <row r="152" ht="15.75" customHeight="1" s="85">
      <c r="A152" s="4" t="n"/>
      <c r="B152" s="4" t="n"/>
      <c r="C152" s="4" t="n"/>
      <c r="D152" s="4" t="n"/>
      <c r="E152" s="4" t="n"/>
      <c r="F152" s="4" t="n"/>
      <c r="G152" s="4" t="n"/>
      <c r="H152" s="4" t="n"/>
      <c r="I152" s="4" t="n"/>
    </row>
    <row r="153" ht="15.75" customHeight="1" s="85">
      <c r="A153" s="4" t="n"/>
      <c r="B153" s="4" t="n"/>
      <c r="C153" s="4" t="n"/>
      <c r="D153" s="4" t="n"/>
      <c r="E153" s="4" t="n"/>
      <c r="F153" s="4" t="n"/>
      <c r="G153" s="4" t="n"/>
      <c r="H153" s="4" t="n"/>
      <c r="I153" s="4" t="n"/>
    </row>
    <row r="154" ht="15.75" customHeight="1" s="85">
      <c r="A154" s="4" t="n"/>
      <c r="B154" s="4" t="n"/>
      <c r="C154" s="4" t="n"/>
      <c r="D154" s="4" t="n"/>
      <c r="E154" s="4" t="n"/>
      <c r="F154" s="4" t="n"/>
      <c r="G154" s="4" t="n"/>
      <c r="H154" s="4" t="n"/>
      <c r="I154" s="4" t="n"/>
    </row>
    <row r="155" ht="15.75" customHeight="1" s="85">
      <c r="A155" s="4" t="n"/>
      <c r="B155" s="4" t="n"/>
      <c r="C155" s="4" t="n"/>
      <c r="D155" s="4" t="n"/>
      <c r="E155" s="4" t="n"/>
      <c r="F155" s="4" t="n"/>
      <c r="G155" s="4" t="n"/>
      <c r="H155" s="4" t="n"/>
      <c r="I155" s="4" t="n"/>
    </row>
    <row r="156" ht="15.75" customHeight="1" s="85">
      <c r="A156" s="4" t="n"/>
      <c r="B156" s="4" t="n"/>
      <c r="C156" s="4" t="n"/>
      <c r="D156" s="4" t="n"/>
      <c r="E156" s="4" t="n"/>
      <c r="F156" s="4" t="n"/>
      <c r="G156" s="4" t="n"/>
      <c r="H156" s="4" t="n"/>
      <c r="I156" s="4" t="n"/>
    </row>
    <row r="157" ht="15.75" customHeight="1" s="85">
      <c r="A157" s="4" t="n"/>
      <c r="B157" s="4" t="n"/>
      <c r="C157" s="4" t="n"/>
      <c r="D157" s="4" t="n"/>
      <c r="E157" s="4" t="n"/>
      <c r="F157" s="4" t="n"/>
      <c r="G157" s="4" t="n"/>
      <c r="H157" s="4" t="n"/>
      <c r="I157" s="4" t="n"/>
    </row>
    <row r="158" ht="15.75" customHeight="1" s="85">
      <c r="A158" s="4" t="n"/>
      <c r="B158" s="4" t="n"/>
      <c r="C158" s="4" t="n"/>
      <c r="D158" s="4" t="n"/>
      <c r="E158" s="4" t="n"/>
      <c r="F158" s="4" t="n"/>
      <c r="G158" s="4" t="n"/>
      <c r="H158" s="4" t="n"/>
      <c r="I158" s="4" t="n"/>
    </row>
    <row r="159" ht="15.75" customHeight="1" s="85">
      <c r="A159" s="4" t="n"/>
      <c r="B159" s="4" t="n"/>
      <c r="C159" s="4" t="n"/>
      <c r="D159" s="4" t="n"/>
      <c r="E159" s="4" t="n"/>
      <c r="F159" s="4" t="n"/>
      <c r="G159" s="4" t="n"/>
      <c r="H159" s="4" t="n"/>
      <c r="I159" s="4" t="n"/>
    </row>
    <row r="160" ht="15.75" customHeight="1" s="85">
      <c r="A160" s="4" t="n"/>
      <c r="B160" s="4" t="n"/>
      <c r="C160" s="4" t="n"/>
      <c r="D160" s="4" t="n"/>
      <c r="E160" s="4" t="n"/>
      <c r="F160" s="4" t="n"/>
      <c r="G160" s="4" t="n"/>
      <c r="H160" s="4" t="n"/>
      <c r="I160" s="4" t="n"/>
    </row>
    <row r="161" ht="15.75" customHeight="1" s="85">
      <c r="A161" s="4" t="n"/>
      <c r="B161" s="4" t="n"/>
      <c r="C161" s="4" t="n"/>
      <c r="D161" s="4" t="n"/>
      <c r="E161" s="4" t="n"/>
      <c r="F161" s="4" t="n"/>
      <c r="G161" s="4" t="n"/>
      <c r="H161" s="4" t="n"/>
      <c r="I161" s="4" t="n"/>
    </row>
    <row r="162" ht="15.75" customHeight="1" s="85">
      <c r="A162" s="4" t="n"/>
      <c r="B162" s="4" t="n"/>
      <c r="C162" s="4" t="n"/>
      <c r="D162" s="4" t="n"/>
      <c r="E162" s="4" t="n"/>
      <c r="F162" s="4" t="n"/>
      <c r="G162" s="4" t="n"/>
      <c r="H162" s="4" t="n"/>
      <c r="I162" s="4" t="n"/>
    </row>
    <row r="163" ht="15.75" customHeight="1" s="85">
      <c r="A163" s="4" t="n"/>
      <c r="B163" s="4" t="n"/>
      <c r="C163" s="4" t="n"/>
      <c r="D163" s="4" t="n"/>
      <c r="E163" s="4" t="n"/>
      <c r="F163" s="4" t="n"/>
      <c r="G163" s="4" t="n"/>
      <c r="H163" s="4" t="n"/>
      <c r="I163" s="4" t="n"/>
    </row>
    <row r="164" ht="15.75" customHeight="1" s="85">
      <c r="A164" s="4" t="n"/>
      <c r="B164" s="4" t="n"/>
      <c r="C164" s="4" t="n"/>
      <c r="D164" s="4" t="n"/>
      <c r="E164" s="4" t="n"/>
      <c r="F164" s="4" t="n"/>
      <c r="G164" s="4" t="n"/>
      <c r="H164" s="4" t="n"/>
      <c r="I164" s="4" t="n"/>
    </row>
    <row r="165" ht="15.75" customHeight="1" s="85">
      <c r="A165" s="4" t="n"/>
      <c r="B165" s="4" t="n"/>
      <c r="C165" s="4" t="n"/>
      <c r="D165" s="4" t="n"/>
      <c r="E165" s="4" t="n"/>
      <c r="F165" s="4" t="n"/>
      <c r="G165" s="4" t="n"/>
      <c r="H165" s="4" t="n"/>
      <c r="I165" s="4" t="n"/>
    </row>
    <row r="166" ht="15.75" customHeight="1" s="85">
      <c r="A166" s="4" t="n"/>
      <c r="B166" s="4" t="n"/>
      <c r="C166" s="4" t="n"/>
      <c r="D166" s="4" t="n"/>
      <c r="E166" s="4" t="n"/>
      <c r="F166" s="4" t="n"/>
      <c r="G166" s="4" t="n"/>
      <c r="H166" s="4" t="n"/>
      <c r="I166" s="4" t="n"/>
    </row>
    <row r="167" ht="15.75" customHeight="1" s="85">
      <c r="A167" s="4" t="n"/>
      <c r="B167" s="4" t="n"/>
      <c r="C167" s="4" t="n"/>
      <c r="D167" s="4" t="n"/>
      <c r="E167" s="4" t="n"/>
      <c r="F167" s="4" t="n"/>
      <c r="G167" s="4" t="n"/>
      <c r="H167" s="4" t="n"/>
      <c r="I167" s="4" t="n"/>
    </row>
    <row r="168" ht="15.75" customHeight="1" s="85">
      <c r="A168" s="4" t="n"/>
      <c r="B168" s="4" t="n"/>
      <c r="C168" s="4" t="n"/>
      <c r="D168" s="4" t="n"/>
      <c r="E168" s="4" t="n"/>
      <c r="F168" s="4" t="n"/>
      <c r="G168" s="4" t="n"/>
      <c r="H168" s="4" t="n"/>
      <c r="I168" s="4" t="n"/>
    </row>
    <row r="169" ht="15.75" customHeight="1" s="85">
      <c r="A169" s="4" t="n"/>
      <c r="B169" s="4" t="n"/>
      <c r="C169" s="4" t="n"/>
      <c r="D169" s="4" t="n"/>
      <c r="E169" s="4" t="n"/>
      <c r="F169" s="4" t="n"/>
      <c r="G169" s="4" t="n"/>
      <c r="H169" s="4" t="n"/>
      <c r="I169" s="4" t="n"/>
    </row>
    <row r="170" ht="15.75" customHeight="1" s="85">
      <c r="A170" s="4" t="n"/>
      <c r="B170" s="4" t="n"/>
      <c r="C170" s="4" t="n"/>
      <c r="D170" s="4" t="n"/>
      <c r="E170" s="4" t="n"/>
      <c r="F170" s="4" t="n"/>
      <c r="G170" s="4" t="n"/>
      <c r="H170" s="4" t="n"/>
      <c r="I170" s="4" t="n"/>
    </row>
    <row r="171" ht="15.75" customHeight="1" s="85">
      <c r="A171" s="4" t="n"/>
      <c r="B171" s="4" t="n"/>
      <c r="C171" s="4" t="n"/>
      <c r="D171" s="4" t="n"/>
      <c r="E171" s="4" t="n"/>
      <c r="F171" s="4" t="n"/>
      <c r="G171" s="4" t="n"/>
      <c r="H171" s="4" t="n"/>
      <c r="I171" s="4" t="n"/>
    </row>
    <row r="172" ht="15.75" customHeight="1" s="85">
      <c r="A172" s="4" t="n"/>
      <c r="B172" s="4" t="n"/>
      <c r="C172" s="4" t="n"/>
      <c r="D172" s="4" t="n"/>
      <c r="E172" s="4" t="n"/>
      <c r="F172" s="4" t="n"/>
      <c r="G172" s="4" t="n"/>
      <c r="H172" s="4" t="n"/>
      <c r="I172" s="4" t="n"/>
    </row>
    <row r="173" ht="15.75" customHeight="1" s="85">
      <c r="A173" s="4" t="n"/>
      <c r="B173" s="4" t="n"/>
      <c r="C173" s="4" t="n"/>
      <c r="D173" s="4" t="n"/>
      <c r="E173" s="4" t="n"/>
      <c r="F173" s="4" t="n"/>
      <c r="G173" s="4" t="n"/>
      <c r="H173" s="4" t="n"/>
      <c r="I173" s="4" t="n"/>
    </row>
    <row r="174" ht="15.75" customHeight="1" s="85">
      <c r="A174" s="4" t="n"/>
      <c r="B174" s="4" t="n"/>
      <c r="C174" s="4" t="n"/>
      <c r="D174" s="4" t="n"/>
      <c r="E174" s="4" t="n"/>
      <c r="F174" s="4" t="n"/>
      <c r="G174" s="4" t="n"/>
      <c r="H174" s="4" t="n"/>
      <c r="I174" s="4" t="n"/>
    </row>
    <row r="175" ht="15.75" customHeight="1" s="85">
      <c r="A175" s="4" t="n"/>
      <c r="B175" s="4" t="n"/>
      <c r="C175" s="4" t="n"/>
      <c r="D175" s="4" t="n"/>
      <c r="E175" s="4" t="n"/>
      <c r="F175" s="4" t="n"/>
      <c r="G175" s="4" t="n"/>
      <c r="H175" s="4" t="n"/>
      <c r="I175" s="4" t="n"/>
    </row>
    <row r="176" ht="15.75" customHeight="1" s="85">
      <c r="A176" s="4" t="n"/>
      <c r="B176" s="4" t="n"/>
      <c r="C176" s="4" t="n"/>
      <c r="D176" s="4" t="n"/>
      <c r="E176" s="4" t="n"/>
      <c r="F176" s="4" t="n"/>
      <c r="G176" s="4" t="n"/>
      <c r="H176" s="4" t="n"/>
      <c r="I176" s="4" t="n"/>
    </row>
    <row r="177" ht="15.75" customHeight="1" s="85">
      <c r="A177" s="4" t="n"/>
      <c r="B177" s="4" t="n"/>
      <c r="C177" s="4" t="n"/>
      <c r="D177" s="4" t="n"/>
      <c r="E177" s="4" t="n"/>
      <c r="F177" s="4" t="n"/>
      <c r="G177" s="4" t="n"/>
      <c r="H177" s="4" t="n"/>
      <c r="I177" s="4" t="n"/>
    </row>
    <row r="178" ht="15.75" customHeight="1" s="85">
      <c r="A178" s="4" t="n"/>
      <c r="B178" s="4" t="n"/>
      <c r="C178" s="4" t="n"/>
      <c r="D178" s="4" t="n"/>
      <c r="E178" s="4" t="n"/>
      <c r="F178" s="4" t="n"/>
      <c r="G178" s="4" t="n"/>
      <c r="H178" s="4" t="n"/>
      <c r="I178" s="4" t="n"/>
    </row>
    <row r="179" ht="15.75" customHeight="1" s="85">
      <c r="A179" s="4" t="n"/>
      <c r="B179" s="4" t="n"/>
      <c r="C179" s="4" t="n"/>
      <c r="D179" s="4" t="n"/>
      <c r="E179" s="4" t="n"/>
      <c r="F179" s="4" t="n"/>
      <c r="G179" s="4" t="n"/>
      <c r="H179" s="4" t="n"/>
      <c r="I179" s="4" t="n"/>
    </row>
    <row r="180" ht="15.75" customHeight="1" s="85">
      <c r="A180" s="4" t="n"/>
      <c r="B180" s="4" t="n"/>
      <c r="C180" s="4" t="n"/>
      <c r="D180" s="4" t="n"/>
      <c r="E180" s="4" t="n"/>
      <c r="F180" s="4" t="n"/>
      <c r="G180" s="4" t="n"/>
      <c r="H180" s="4" t="n"/>
      <c r="I180" s="4" t="n"/>
    </row>
    <row r="181" ht="15.75" customHeight="1" s="85">
      <c r="A181" s="4" t="n"/>
      <c r="B181" s="4" t="n"/>
      <c r="C181" s="4" t="n"/>
      <c r="D181" s="4" t="n"/>
      <c r="E181" s="4" t="n"/>
      <c r="F181" s="4" t="n"/>
      <c r="G181" s="4" t="n"/>
      <c r="H181" s="4" t="n"/>
      <c r="I181" s="4" t="n"/>
    </row>
    <row r="182" ht="15.75" customHeight="1" s="85">
      <c r="A182" s="4" t="n"/>
      <c r="B182" s="4" t="n"/>
      <c r="C182" s="4" t="n"/>
      <c r="D182" s="4" t="n"/>
      <c r="E182" s="4" t="n"/>
      <c r="F182" s="4" t="n"/>
      <c r="G182" s="4" t="n"/>
      <c r="H182" s="4" t="n"/>
      <c r="I182" s="4" t="n"/>
    </row>
    <row r="183" ht="15.75" customHeight="1" s="85">
      <c r="A183" s="4" t="n"/>
      <c r="B183" s="4" t="n"/>
      <c r="C183" s="4" t="n"/>
      <c r="D183" s="4" t="n"/>
      <c r="E183" s="4" t="n"/>
      <c r="F183" s="4" t="n"/>
      <c r="G183" s="4" t="n"/>
      <c r="H183" s="4" t="n"/>
      <c r="I183" s="4" t="n"/>
    </row>
    <row r="184" ht="15.75" customHeight="1" s="85">
      <c r="A184" s="4" t="n"/>
      <c r="B184" s="4" t="n"/>
      <c r="C184" s="4" t="n"/>
      <c r="D184" s="4" t="n"/>
      <c r="E184" s="4" t="n"/>
      <c r="F184" s="4" t="n"/>
      <c r="G184" s="4" t="n"/>
      <c r="H184" s="4" t="n"/>
      <c r="I184" s="4" t="n"/>
    </row>
    <row r="185" ht="15.75" customHeight="1" s="85">
      <c r="A185" s="4" t="n"/>
      <c r="B185" s="4" t="n"/>
      <c r="C185" s="4" t="n"/>
      <c r="D185" s="4" t="n"/>
      <c r="E185" s="4" t="n"/>
      <c r="F185" s="4" t="n"/>
      <c r="G185" s="4" t="n"/>
      <c r="H185" s="4" t="n"/>
      <c r="I185" s="4" t="n"/>
    </row>
    <row r="186" ht="15.75" customHeight="1" s="85">
      <c r="A186" s="4" t="n"/>
      <c r="B186" s="4" t="n"/>
      <c r="C186" s="4" t="n"/>
      <c r="D186" s="4" t="n"/>
      <c r="E186" s="4" t="n"/>
      <c r="F186" s="4" t="n"/>
      <c r="G186" s="4" t="n"/>
      <c r="H186" s="4" t="n"/>
      <c r="I186" s="4" t="n"/>
    </row>
    <row r="187" ht="15.75" customHeight="1" s="85">
      <c r="A187" s="4" t="n"/>
      <c r="B187" s="4" t="n"/>
      <c r="C187" s="4" t="n"/>
      <c r="D187" s="4" t="n"/>
      <c r="E187" s="4" t="n"/>
      <c r="F187" s="4" t="n"/>
      <c r="G187" s="4" t="n"/>
      <c r="H187" s="4" t="n"/>
      <c r="I187" s="4" t="n"/>
    </row>
    <row r="188" ht="15.75" customHeight="1" s="85">
      <c r="A188" s="4" t="n"/>
      <c r="B188" s="4" t="n"/>
      <c r="C188" s="4" t="n"/>
      <c r="D188" s="4" t="n"/>
      <c r="E188" s="4" t="n"/>
      <c r="F188" s="4" t="n"/>
      <c r="G188" s="4" t="n"/>
      <c r="H188" s="4" t="n"/>
      <c r="I188" s="4" t="n"/>
    </row>
    <row r="189" ht="15.75" customHeight="1" s="85">
      <c r="A189" s="4" t="n"/>
      <c r="B189" s="4" t="n"/>
      <c r="C189" s="4" t="n"/>
      <c r="D189" s="4" t="n"/>
      <c r="E189" s="4" t="n"/>
      <c r="F189" s="4" t="n"/>
      <c r="G189" s="4" t="n"/>
      <c r="H189" s="4" t="n"/>
      <c r="I189" s="4" t="n"/>
    </row>
    <row r="190" ht="15.75" customHeight="1" s="85">
      <c r="A190" s="4" t="n"/>
      <c r="B190" s="4" t="n"/>
      <c r="C190" s="4" t="n"/>
      <c r="D190" s="4" t="n"/>
      <c r="E190" s="4" t="n"/>
      <c r="F190" s="4" t="n"/>
      <c r="G190" s="4" t="n"/>
      <c r="H190" s="4" t="n"/>
      <c r="I190" s="4" t="n"/>
    </row>
    <row r="191" ht="15.75" customHeight="1" s="85">
      <c r="A191" s="4" t="n"/>
      <c r="B191" s="4" t="n"/>
      <c r="C191" s="4" t="n"/>
      <c r="D191" s="4" t="n"/>
      <c r="E191" s="4" t="n"/>
      <c r="F191" s="4" t="n"/>
      <c r="G191" s="4" t="n"/>
      <c r="H191" s="4" t="n"/>
      <c r="I191" s="4" t="n"/>
    </row>
    <row r="192" ht="15.75" customHeight="1" s="85">
      <c r="A192" s="4" t="n"/>
      <c r="B192" s="4" t="n"/>
      <c r="C192" s="4" t="n"/>
      <c r="D192" s="4" t="n"/>
      <c r="E192" s="4" t="n"/>
      <c r="F192" s="4" t="n"/>
      <c r="G192" s="4" t="n"/>
      <c r="H192" s="4" t="n"/>
      <c r="I192" s="4" t="n"/>
    </row>
    <row r="193" ht="15.75" customHeight="1" s="85">
      <c r="A193" s="4" t="n"/>
      <c r="B193" s="4" t="n"/>
      <c r="C193" s="4" t="n"/>
      <c r="D193" s="4" t="n"/>
      <c r="E193" s="4" t="n"/>
      <c r="F193" s="4" t="n"/>
      <c r="G193" s="4" t="n"/>
      <c r="H193" s="4" t="n"/>
      <c r="I193" s="4" t="n"/>
    </row>
    <row r="194" ht="15.75" customHeight="1" s="85">
      <c r="A194" s="4" t="n"/>
      <c r="B194" s="4" t="n"/>
      <c r="C194" s="4" t="n"/>
      <c r="D194" s="4" t="n"/>
      <c r="E194" s="4" t="n"/>
      <c r="F194" s="4" t="n"/>
      <c r="G194" s="4" t="n"/>
      <c r="H194" s="4" t="n"/>
      <c r="I194" s="4" t="n"/>
    </row>
    <row r="195" ht="15.75" customHeight="1" s="85">
      <c r="A195" s="4" t="n"/>
      <c r="B195" s="4" t="n"/>
      <c r="C195" s="4" t="n"/>
      <c r="D195" s="4" t="n"/>
      <c r="E195" s="4" t="n"/>
      <c r="F195" s="4" t="n"/>
      <c r="G195" s="4" t="n"/>
      <c r="H195" s="4" t="n"/>
      <c r="I195" s="4" t="n"/>
    </row>
    <row r="196" ht="15.75" customHeight="1" s="85">
      <c r="A196" s="4" t="n"/>
      <c r="B196" s="4" t="n"/>
      <c r="C196" s="4" t="n"/>
      <c r="D196" s="4" t="n"/>
      <c r="E196" s="4" t="n"/>
      <c r="F196" s="4" t="n"/>
      <c r="G196" s="4" t="n"/>
      <c r="H196" s="4" t="n"/>
      <c r="I196" s="4" t="n"/>
    </row>
    <row r="197" ht="15.75" customHeight="1" s="85">
      <c r="A197" s="4" t="n"/>
      <c r="B197" s="4" t="n"/>
      <c r="C197" s="4" t="n"/>
      <c r="D197" s="4" t="n"/>
      <c r="E197" s="4" t="n"/>
      <c r="F197" s="4" t="n"/>
      <c r="G197" s="4" t="n"/>
      <c r="H197" s="4" t="n"/>
      <c r="I197" s="4" t="n"/>
    </row>
    <row r="198" ht="15.75" customHeight="1" s="85">
      <c r="A198" s="4" t="n"/>
      <c r="B198" s="4" t="n"/>
      <c r="C198" s="4" t="n"/>
      <c r="D198" s="4" t="n"/>
      <c r="E198" s="4" t="n"/>
      <c r="F198" s="4" t="n"/>
      <c r="G198" s="4" t="n"/>
      <c r="H198" s="4" t="n"/>
      <c r="I198" s="4" t="n"/>
    </row>
    <row r="199" ht="15.75" customHeight="1" s="85">
      <c r="A199" s="4" t="n"/>
      <c r="B199" s="4" t="n"/>
      <c r="C199" s="4" t="n"/>
      <c r="D199" s="4" t="n"/>
      <c r="E199" s="4" t="n"/>
      <c r="F199" s="4" t="n"/>
      <c r="G199" s="4" t="n"/>
      <c r="H199" s="4" t="n"/>
      <c r="I199" s="4" t="n"/>
    </row>
    <row r="200" ht="15.75" customHeight="1" s="85">
      <c r="A200" s="4" t="n"/>
      <c r="B200" s="4" t="n"/>
      <c r="C200" s="4" t="n"/>
      <c r="D200" s="4" t="n"/>
      <c r="E200" s="4" t="n"/>
      <c r="F200" s="4" t="n"/>
      <c r="G200" s="4" t="n"/>
      <c r="H200" s="4" t="n"/>
      <c r="I200" s="4" t="n"/>
    </row>
    <row r="201" ht="15.75" customHeight="1" s="85">
      <c r="A201" s="4" t="n"/>
      <c r="B201" s="4" t="n"/>
      <c r="C201" s="4" t="n"/>
      <c r="D201" s="4" t="n"/>
      <c r="E201" s="4" t="n"/>
      <c r="F201" s="4" t="n"/>
      <c r="G201" s="4" t="n"/>
      <c r="H201" s="4" t="n"/>
      <c r="I201" s="4" t="n"/>
    </row>
    <row r="202" ht="15.75" customHeight="1" s="85">
      <c r="A202" s="4" t="n"/>
      <c r="B202" s="4" t="n"/>
      <c r="C202" s="4" t="n"/>
      <c r="D202" s="4" t="n"/>
      <c r="E202" s="4" t="n"/>
      <c r="F202" s="4" t="n"/>
      <c r="G202" s="4" t="n"/>
      <c r="H202" s="4" t="n"/>
      <c r="I202" s="4" t="n"/>
    </row>
    <row r="203" ht="15.75" customHeight="1" s="85">
      <c r="A203" s="4" t="n"/>
      <c r="B203" s="4" t="n"/>
      <c r="C203" s="4" t="n"/>
      <c r="D203" s="4" t="n"/>
      <c r="E203" s="4" t="n"/>
      <c r="F203" s="4" t="n"/>
      <c r="G203" s="4" t="n"/>
      <c r="H203" s="4" t="n"/>
      <c r="I203" s="4" t="n"/>
    </row>
    <row r="204" ht="15.75" customHeight="1" s="85">
      <c r="A204" s="4" t="n"/>
      <c r="B204" s="4" t="n"/>
      <c r="C204" s="4" t="n"/>
      <c r="D204" s="4" t="n"/>
      <c r="E204" s="4" t="n"/>
      <c r="F204" s="4" t="n"/>
      <c r="G204" s="4" t="n"/>
      <c r="H204" s="4" t="n"/>
      <c r="I204" s="4" t="n"/>
    </row>
    <row r="205" ht="15.75" customHeight="1" s="85">
      <c r="A205" s="4" t="n"/>
      <c r="B205" s="4" t="n"/>
      <c r="C205" s="4" t="n"/>
      <c r="D205" s="4" t="n"/>
      <c r="E205" s="4" t="n"/>
      <c r="F205" s="4" t="n"/>
      <c r="G205" s="4" t="n"/>
      <c r="H205" s="4" t="n"/>
      <c r="I205" s="4" t="n"/>
    </row>
    <row r="206" ht="15.75" customHeight="1" s="85">
      <c r="A206" s="4" t="n"/>
      <c r="B206" s="4" t="n"/>
      <c r="C206" s="4" t="n"/>
      <c r="D206" s="4" t="n"/>
      <c r="E206" s="4" t="n"/>
      <c r="F206" s="4" t="n"/>
      <c r="G206" s="4" t="n"/>
      <c r="H206" s="4" t="n"/>
      <c r="I206" s="4" t="n"/>
    </row>
    <row r="207" ht="15.75" customHeight="1" s="85">
      <c r="A207" s="4" t="n"/>
      <c r="B207" s="4" t="n"/>
      <c r="C207" s="4" t="n"/>
      <c r="D207" s="4" t="n"/>
      <c r="E207" s="4" t="n"/>
      <c r="F207" s="4" t="n"/>
      <c r="G207" s="4" t="n"/>
      <c r="H207" s="4" t="n"/>
      <c r="I207" s="4" t="n"/>
    </row>
    <row r="208" ht="15.75" customHeight="1" s="85">
      <c r="A208" s="4" t="n"/>
      <c r="B208" s="4" t="n"/>
      <c r="C208" s="4" t="n"/>
      <c r="D208" s="4" t="n"/>
      <c r="E208" s="4" t="n"/>
      <c r="F208" s="4" t="n"/>
      <c r="G208" s="4" t="n"/>
      <c r="H208" s="4" t="n"/>
      <c r="I208" s="4" t="n"/>
    </row>
    <row r="209" ht="15.75" customHeight="1" s="85">
      <c r="A209" s="4" t="n"/>
      <c r="B209" s="4" t="n"/>
      <c r="C209" s="4" t="n"/>
      <c r="D209" s="4" t="n"/>
      <c r="E209" s="4" t="n"/>
      <c r="F209" s="4" t="n"/>
      <c r="G209" s="4" t="n"/>
      <c r="H209" s="4" t="n"/>
      <c r="I209" s="4" t="n"/>
    </row>
    <row r="210" ht="15.75" customHeight="1" s="85">
      <c r="A210" s="4" t="n"/>
      <c r="B210" s="4" t="n"/>
      <c r="C210" s="4" t="n"/>
      <c r="D210" s="4" t="n"/>
      <c r="E210" s="4" t="n"/>
      <c r="F210" s="4" t="n"/>
      <c r="G210" s="4" t="n"/>
      <c r="H210" s="4" t="n"/>
      <c r="I210" s="4" t="n"/>
    </row>
    <row r="211" ht="15.75" customHeight="1" s="85">
      <c r="A211" s="4" t="n"/>
      <c r="B211" s="4" t="n"/>
      <c r="C211" s="4" t="n"/>
      <c r="D211" s="4" t="n"/>
      <c r="E211" s="4" t="n"/>
      <c r="F211" s="4" t="n"/>
      <c r="G211" s="4" t="n"/>
      <c r="H211" s="4" t="n"/>
      <c r="I211" s="4" t="n"/>
    </row>
    <row r="212" ht="15.75" customHeight="1" s="85">
      <c r="A212" s="4" t="n"/>
      <c r="B212" s="4" t="n"/>
      <c r="C212" s="4" t="n"/>
      <c r="D212" s="4" t="n"/>
      <c r="E212" s="4" t="n"/>
      <c r="F212" s="4" t="n"/>
      <c r="G212" s="4" t="n"/>
      <c r="H212" s="4" t="n"/>
      <c r="I212" s="4" t="n"/>
    </row>
    <row r="213" ht="15.75" customHeight="1" s="85">
      <c r="A213" s="4" t="n"/>
      <c r="B213" s="4" t="n"/>
      <c r="C213" s="4" t="n"/>
      <c r="D213" s="4" t="n"/>
      <c r="E213" s="4" t="n"/>
      <c r="F213" s="4" t="n"/>
      <c r="G213" s="4" t="n"/>
      <c r="H213" s="4" t="n"/>
      <c r="I213" s="4" t="n"/>
    </row>
    <row r="214" ht="15.75" customHeight="1" s="85">
      <c r="A214" s="4" t="n"/>
      <c r="B214" s="4" t="n"/>
      <c r="C214" s="4" t="n"/>
      <c r="D214" s="4" t="n"/>
      <c r="E214" s="4" t="n"/>
      <c r="F214" s="4" t="n"/>
      <c r="G214" s="4" t="n"/>
      <c r="H214" s="4" t="n"/>
      <c r="I214" s="4" t="n"/>
    </row>
    <row r="215" ht="15.75" customHeight="1" s="85">
      <c r="A215" s="4" t="n"/>
      <c r="B215" s="4" t="n"/>
      <c r="C215" s="4" t="n"/>
      <c r="D215" s="4" t="n"/>
      <c r="E215" s="4" t="n"/>
      <c r="F215" s="4" t="n"/>
      <c r="G215" s="4" t="n"/>
      <c r="H215" s="4" t="n"/>
      <c r="I215" s="4" t="n"/>
    </row>
    <row r="216" ht="15.75" customHeight="1" s="85">
      <c r="A216" s="4" t="n"/>
      <c r="B216" s="4" t="n"/>
      <c r="C216" s="4" t="n"/>
      <c r="D216" s="4" t="n"/>
      <c r="E216" s="4" t="n"/>
      <c r="F216" s="4" t="n"/>
      <c r="G216" s="4" t="n"/>
      <c r="H216" s="4" t="n"/>
      <c r="I216" s="4" t="n"/>
    </row>
    <row r="217" ht="15.75" customHeight="1" s="85">
      <c r="A217" s="4" t="n"/>
      <c r="B217" s="4" t="n"/>
      <c r="C217" s="4" t="n"/>
      <c r="D217" s="4" t="n"/>
      <c r="E217" s="4" t="n"/>
      <c r="F217" s="4" t="n"/>
      <c r="G217" s="4" t="n"/>
      <c r="H217" s="4" t="n"/>
      <c r="I217" s="4" t="n"/>
    </row>
    <row r="218" ht="15.75" customHeight="1" s="85">
      <c r="A218" s="4" t="n"/>
      <c r="B218" s="4" t="n"/>
      <c r="C218" s="4" t="n"/>
      <c r="D218" s="4" t="n"/>
      <c r="E218" s="4" t="n"/>
      <c r="F218" s="4" t="n"/>
      <c r="G218" s="4" t="n"/>
      <c r="H218" s="4" t="n"/>
      <c r="I218" s="4" t="n"/>
    </row>
    <row r="219" ht="15.75" customHeight="1" s="85">
      <c r="A219" s="4" t="n"/>
      <c r="B219" s="4" t="n"/>
      <c r="C219" s="4" t="n"/>
      <c r="D219" s="4" t="n"/>
      <c r="E219" s="4" t="n"/>
      <c r="F219" s="4" t="n"/>
      <c r="G219" s="4" t="n"/>
      <c r="H219" s="4" t="n"/>
      <c r="I219" s="4" t="n"/>
    </row>
    <row r="220" ht="15.75" customHeight="1" s="85">
      <c r="A220" s="4" t="n"/>
      <c r="B220" s="4" t="n"/>
      <c r="C220" s="4" t="n"/>
      <c r="D220" s="4" t="n"/>
      <c r="E220" s="4" t="n"/>
      <c r="F220" s="4" t="n"/>
      <c r="G220" s="4" t="n"/>
      <c r="H220" s="4" t="n"/>
      <c r="I220" s="4" t="n"/>
    </row>
    <row r="221" ht="15.75" customHeight="1" s="85">
      <c r="A221" s="4" t="n"/>
      <c r="B221" s="4" t="n"/>
      <c r="C221" s="4" t="n"/>
      <c r="D221" s="4" t="n"/>
      <c r="E221" s="4" t="n"/>
      <c r="F221" s="4" t="n"/>
      <c r="G221" s="4" t="n"/>
      <c r="H221" s="4" t="n"/>
      <c r="I221" s="4" t="n"/>
    </row>
    <row r="222" ht="15.75" customHeight="1" s="85">
      <c r="A222" s="4" t="n"/>
      <c r="B222" s="4" t="n"/>
      <c r="C222" s="4" t="n"/>
      <c r="D222" s="4" t="n"/>
      <c r="E222" s="4" t="n"/>
      <c r="F222" s="4" t="n"/>
      <c r="G222" s="4" t="n"/>
      <c r="H222" s="4" t="n"/>
      <c r="I222" s="4" t="n"/>
    </row>
    <row r="223" ht="15.75" customHeight="1" s="85">
      <c r="A223" s="4" t="n"/>
      <c r="B223" s="4" t="n"/>
      <c r="C223" s="4" t="n"/>
      <c r="D223" s="4" t="n"/>
      <c r="E223" s="4" t="n"/>
      <c r="F223" s="4" t="n"/>
      <c r="G223" s="4" t="n"/>
      <c r="H223" s="4" t="n"/>
      <c r="I223" s="4" t="n"/>
    </row>
    <row r="224" ht="15.75" customHeight="1" s="85">
      <c r="A224" s="4" t="n"/>
      <c r="B224" s="4" t="n"/>
      <c r="C224" s="4" t="n"/>
      <c r="D224" s="4" t="n"/>
      <c r="E224" s="4" t="n"/>
      <c r="F224" s="4" t="n"/>
      <c r="G224" s="4" t="n"/>
      <c r="H224" s="4" t="n"/>
      <c r="I224" s="4" t="n"/>
    </row>
    <row r="225" ht="15.75" customHeight="1" s="85">
      <c r="A225" s="4" t="n"/>
      <c r="B225" s="4" t="n"/>
      <c r="C225" s="4" t="n"/>
      <c r="D225" s="4" t="n"/>
      <c r="E225" s="4" t="n"/>
      <c r="F225" s="4" t="n"/>
      <c r="G225" s="4" t="n"/>
      <c r="H225" s="4" t="n"/>
      <c r="I225" s="4" t="n"/>
    </row>
    <row r="226" ht="15.75" customHeight="1" s="85">
      <c r="A226" s="4" t="n"/>
      <c r="B226" s="4" t="n"/>
      <c r="C226" s="4" t="n"/>
      <c r="D226" s="4" t="n"/>
      <c r="E226" s="4" t="n"/>
      <c r="F226" s="4" t="n"/>
      <c r="G226" s="4" t="n"/>
      <c r="H226" s="4" t="n"/>
      <c r="I226" s="4" t="n"/>
    </row>
    <row r="227" ht="15.75" customHeight="1" s="85">
      <c r="A227" s="4" t="n"/>
      <c r="B227" s="4" t="n"/>
      <c r="C227" s="4" t="n"/>
      <c r="D227" s="4" t="n"/>
      <c r="E227" s="4" t="n"/>
      <c r="F227" s="4" t="n"/>
      <c r="G227" s="4" t="n"/>
      <c r="H227" s="4" t="n"/>
      <c r="I227" s="4" t="n"/>
    </row>
    <row r="228" ht="15.75" customHeight="1" s="85">
      <c r="A228" s="4" t="n"/>
      <c r="B228" s="4" t="n"/>
      <c r="C228" s="4" t="n"/>
      <c r="D228" s="4" t="n"/>
      <c r="E228" s="4" t="n"/>
      <c r="F228" s="4" t="n"/>
      <c r="G228" s="4" t="n"/>
      <c r="H228" s="4" t="n"/>
      <c r="I228" s="4" t="n"/>
    </row>
    <row r="229" ht="15.75" customHeight="1" s="85">
      <c r="A229" s="4" t="n"/>
      <c r="B229" s="4" t="n"/>
      <c r="C229" s="4" t="n"/>
      <c r="D229" s="4" t="n"/>
      <c r="E229" s="4" t="n"/>
      <c r="F229" s="4" t="n"/>
      <c r="G229" s="4" t="n"/>
      <c r="H229" s="4" t="n"/>
      <c r="I229" s="4" t="n"/>
    </row>
    <row r="230" ht="15.75" customHeight="1" s="85">
      <c r="A230" s="4" t="n"/>
      <c r="B230" s="4" t="n"/>
      <c r="C230" s="4" t="n"/>
      <c r="D230" s="4" t="n"/>
      <c r="E230" s="4" t="n"/>
      <c r="F230" s="4" t="n"/>
      <c r="G230" s="4" t="n"/>
      <c r="H230" s="4" t="n"/>
      <c r="I230" s="4" t="n"/>
    </row>
    <row r="231" ht="15.75" customHeight="1" s="85">
      <c r="A231" s="4" t="n"/>
      <c r="B231" s="4" t="n"/>
      <c r="C231" s="4" t="n"/>
      <c r="D231" s="4" t="n"/>
      <c r="E231" s="4" t="n"/>
      <c r="F231" s="4" t="n"/>
      <c r="G231" s="4" t="n"/>
      <c r="H231" s="4" t="n"/>
      <c r="I231" s="4" t="n"/>
    </row>
    <row r="232" ht="15.75" customHeight="1" s="85">
      <c r="A232" s="4" t="n"/>
      <c r="B232" s="4" t="n"/>
      <c r="C232" s="4" t="n"/>
      <c r="D232" s="4" t="n"/>
      <c r="E232" s="4" t="n"/>
      <c r="F232" s="4" t="n"/>
      <c r="G232" s="4" t="n"/>
      <c r="H232" s="4" t="n"/>
      <c r="I232" s="4" t="n"/>
    </row>
    <row r="233" ht="15.75" customHeight="1" s="85">
      <c r="A233" s="4" t="n"/>
      <c r="B233" s="4" t="n"/>
      <c r="C233" s="4" t="n"/>
      <c r="D233" s="4" t="n"/>
      <c r="E233" s="4" t="n"/>
      <c r="F233" s="4" t="n"/>
      <c r="G233" s="4" t="n"/>
      <c r="H233" s="4" t="n"/>
      <c r="I233" s="4" t="n"/>
    </row>
    <row r="234" ht="15.75" customHeight="1" s="85">
      <c r="A234" s="4" t="n"/>
      <c r="B234" s="4" t="n"/>
      <c r="C234" s="4" t="n"/>
      <c r="D234" s="4" t="n"/>
      <c r="E234" s="4" t="n"/>
      <c r="F234" s="4" t="n"/>
      <c r="G234" s="4" t="n"/>
      <c r="H234" s="4" t="n"/>
      <c r="I234" s="4" t="n"/>
    </row>
    <row r="235" ht="15.75" customHeight="1" s="85">
      <c r="A235" s="4" t="n"/>
      <c r="B235" s="4" t="n"/>
      <c r="C235" s="4" t="n"/>
      <c r="D235" s="4" t="n"/>
      <c r="E235" s="4" t="n"/>
      <c r="F235" s="4" t="n"/>
      <c r="G235" s="4" t="n"/>
      <c r="H235" s="4" t="n"/>
      <c r="I235" s="4" t="n"/>
    </row>
    <row r="236" ht="15.75" customHeight="1" s="85">
      <c r="A236" s="4" t="n"/>
      <c r="B236" s="4" t="n"/>
      <c r="C236" s="4" t="n"/>
      <c r="D236" s="4" t="n"/>
      <c r="E236" s="4" t="n"/>
      <c r="F236" s="4" t="n"/>
      <c r="G236" s="4" t="n"/>
      <c r="H236" s="4" t="n"/>
      <c r="I236" s="4" t="n"/>
    </row>
    <row r="237" ht="15.75" customHeight="1" s="85">
      <c r="A237" s="4" t="n"/>
      <c r="B237" s="4" t="n"/>
      <c r="C237" s="4" t="n"/>
      <c r="D237" s="4" t="n"/>
      <c r="E237" s="4" t="n"/>
      <c r="F237" s="4" t="n"/>
      <c r="G237" s="4" t="n"/>
      <c r="H237" s="4" t="n"/>
      <c r="I237" s="4" t="n"/>
    </row>
    <row r="238" ht="15.75" customHeight="1" s="85">
      <c r="A238" s="4" t="n"/>
      <c r="B238" s="4" t="n"/>
      <c r="C238" s="4" t="n"/>
      <c r="D238" s="4" t="n"/>
      <c r="E238" s="4" t="n"/>
      <c r="F238" s="4" t="n"/>
      <c r="G238" s="4" t="n"/>
      <c r="H238" s="4" t="n"/>
      <c r="I238" s="4" t="n"/>
    </row>
    <row r="239" ht="15.75" customHeight="1" s="85">
      <c r="A239" s="4" t="n"/>
      <c r="B239" s="4" t="n"/>
      <c r="C239" s="4" t="n"/>
      <c r="D239" s="4" t="n"/>
      <c r="E239" s="4" t="n"/>
      <c r="F239" s="4" t="n"/>
      <c r="G239" s="4" t="n"/>
      <c r="H239" s="4" t="n"/>
      <c r="I239" s="4" t="n"/>
    </row>
    <row r="240" ht="15.75" customHeight="1" s="85">
      <c r="A240" s="4" t="n"/>
      <c r="B240" s="4" t="n"/>
      <c r="C240" s="4" t="n"/>
      <c r="D240" s="4" t="n"/>
      <c r="E240" s="4" t="n"/>
      <c r="F240" s="4" t="n"/>
      <c r="G240" s="4" t="n"/>
      <c r="H240" s="4" t="n"/>
      <c r="I240" s="4" t="n"/>
    </row>
    <row r="241" ht="15.75" customHeight="1" s="85">
      <c r="A241" s="4" t="n"/>
      <c r="B241" s="4" t="n"/>
      <c r="C241" s="4" t="n"/>
      <c r="D241" s="4" t="n"/>
      <c r="E241" s="4" t="n"/>
      <c r="F241" s="4" t="n"/>
      <c r="G241" s="4" t="n"/>
      <c r="H241" s="4" t="n"/>
      <c r="I241" s="4" t="n"/>
    </row>
    <row r="242" ht="15.75" customHeight="1" s="85">
      <c r="A242" s="4" t="n"/>
      <c r="B242" s="4" t="n"/>
      <c r="C242" s="4" t="n"/>
      <c r="D242" s="4" t="n"/>
      <c r="E242" s="4" t="n"/>
      <c r="F242" s="4" t="n"/>
      <c r="G242" s="4" t="n"/>
      <c r="H242" s="4" t="n"/>
      <c r="I242" s="4" t="n"/>
    </row>
    <row r="243" ht="15.75" customHeight="1" s="85">
      <c r="A243" s="4" t="n"/>
      <c r="B243" s="4" t="n"/>
      <c r="C243" s="4" t="n"/>
      <c r="D243" s="4" t="n"/>
      <c r="E243" s="4" t="n"/>
      <c r="F243" s="4" t="n"/>
      <c r="G243" s="4" t="n"/>
      <c r="H243" s="4" t="n"/>
      <c r="I243" s="4" t="n"/>
    </row>
    <row r="244" ht="15.75" customHeight="1" s="85">
      <c r="A244" s="4" t="n"/>
      <c r="B244" s="4" t="n"/>
      <c r="C244" s="4" t="n"/>
      <c r="D244" s="4" t="n"/>
      <c r="E244" s="4" t="n"/>
      <c r="F244" s="4" t="n"/>
      <c r="G244" s="4" t="n"/>
      <c r="H244" s="4" t="n"/>
      <c r="I244" s="4" t="n"/>
    </row>
    <row r="245" ht="15.75" customHeight="1" s="85">
      <c r="A245" s="4" t="n"/>
      <c r="B245" s="4" t="n"/>
      <c r="C245" s="4" t="n"/>
      <c r="D245" s="4" t="n"/>
      <c r="E245" s="4" t="n"/>
      <c r="F245" s="4" t="n"/>
      <c r="G245" s="4" t="n"/>
      <c r="H245" s="4" t="n"/>
      <c r="I245" s="4" t="n"/>
    </row>
    <row r="246" ht="15.75" customHeight="1" s="85">
      <c r="A246" s="4" t="n"/>
      <c r="B246" s="4" t="n"/>
      <c r="C246" s="4" t="n"/>
      <c r="D246" s="4" t="n"/>
      <c r="E246" s="4" t="n"/>
      <c r="F246" s="4" t="n"/>
      <c r="G246" s="4" t="n"/>
      <c r="H246" s="4" t="n"/>
      <c r="I246" s="4" t="n"/>
    </row>
    <row r="247" ht="15.75" customHeight="1" s="85">
      <c r="A247" s="4" t="n"/>
      <c r="B247" s="4" t="n"/>
      <c r="C247" s="4" t="n"/>
      <c r="D247" s="4" t="n"/>
      <c r="E247" s="4" t="n"/>
      <c r="F247" s="4" t="n"/>
      <c r="G247" s="4" t="n"/>
      <c r="H247" s="4" t="n"/>
      <c r="I247" s="4" t="n"/>
    </row>
    <row r="248" ht="15.75" customHeight="1" s="85">
      <c r="A248" s="4" t="n"/>
      <c r="B248" s="4" t="n"/>
      <c r="C248" s="4" t="n"/>
      <c r="D248" s="4" t="n"/>
      <c r="E248" s="4" t="n"/>
      <c r="F248" s="4" t="n"/>
      <c r="G248" s="4" t="n"/>
      <c r="H248" s="4" t="n"/>
      <c r="I248" s="4" t="n"/>
    </row>
    <row r="249" ht="15.75" customHeight="1" s="85">
      <c r="A249" s="4" t="n"/>
      <c r="B249" s="4" t="n"/>
      <c r="C249" s="4" t="n"/>
      <c r="D249" s="4" t="n"/>
      <c r="E249" s="4" t="n"/>
      <c r="F249" s="4" t="n"/>
      <c r="G249" s="4" t="n"/>
      <c r="H249" s="4" t="n"/>
      <c r="I249" s="4" t="n"/>
    </row>
    <row r="250" ht="15.75" customHeight="1" s="85">
      <c r="A250" s="4" t="n"/>
      <c r="B250" s="4" t="n"/>
      <c r="C250" s="4" t="n"/>
      <c r="D250" s="4" t="n"/>
      <c r="E250" s="4" t="n"/>
      <c r="F250" s="4" t="n"/>
      <c r="G250" s="4" t="n"/>
      <c r="H250" s="4" t="n"/>
      <c r="I250" s="4" t="n"/>
    </row>
    <row r="251" ht="15.75" customHeight="1" s="85">
      <c r="A251" s="4" t="n"/>
      <c r="B251" s="4" t="n"/>
      <c r="C251" s="4" t="n"/>
      <c r="D251" s="4" t="n"/>
      <c r="E251" s="4" t="n"/>
      <c r="F251" s="4" t="n"/>
      <c r="G251" s="4" t="n"/>
      <c r="H251" s="4" t="n"/>
      <c r="I251" s="4" t="n"/>
    </row>
    <row r="252" ht="15.75" customHeight="1" s="85">
      <c r="A252" s="4" t="n"/>
      <c r="B252" s="4" t="n"/>
      <c r="C252" s="4" t="n"/>
      <c r="D252" s="4" t="n"/>
      <c r="E252" s="4" t="n"/>
      <c r="F252" s="4" t="n"/>
      <c r="G252" s="4" t="n"/>
      <c r="H252" s="4" t="n"/>
      <c r="I252" s="4" t="n"/>
    </row>
    <row r="253" ht="15.75" customHeight="1" s="85">
      <c r="A253" s="4" t="n"/>
      <c r="B253" s="4" t="n"/>
      <c r="C253" s="4" t="n"/>
      <c r="D253" s="4" t="n"/>
      <c r="E253" s="4" t="n"/>
      <c r="F253" s="4" t="n"/>
      <c r="G253" s="4" t="n"/>
      <c r="H253" s="4" t="n"/>
      <c r="I253" s="4" t="n"/>
    </row>
    <row r="254" ht="15.75" customHeight="1" s="85">
      <c r="A254" s="4" t="n"/>
      <c r="B254" s="4" t="n"/>
      <c r="C254" s="4" t="n"/>
      <c r="D254" s="4" t="n"/>
      <c r="E254" s="4" t="n"/>
      <c r="F254" s="4" t="n"/>
      <c r="G254" s="4" t="n"/>
      <c r="H254" s="4" t="n"/>
      <c r="I254" s="4" t="n"/>
    </row>
    <row r="255" ht="15.75" customHeight="1" s="85">
      <c r="A255" s="4" t="n"/>
      <c r="B255" s="4" t="n"/>
      <c r="C255" s="4" t="n"/>
      <c r="D255" s="4" t="n"/>
      <c r="E255" s="4" t="n"/>
      <c r="F255" s="4" t="n"/>
      <c r="G255" s="4" t="n"/>
      <c r="H255" s="4" t="n"/>
      <c r="I255" s="4" t="n"/>
    </row>
    <row r="256" ht="15.75" customHeight="1" s="85">
      <c r="A256" s="4" t="n"/>
      <c r="B256" s="4" t="n"/>
      <c r="C256" s="4" t="n"/>
      <c r="D256" s="4" t="n"/>
      <c r="E256" s="4" t="n"/>
      <c r="F256" s="4" t="n"/>
      <c r="G256" s="4" t="n"/>
      <c r="H256" s="4" t="n"/>
      <c r="I256" s="4" t="n"/>
    </row>
    <row r="257" ht="15.75" customHeight="1" s="85">
      <c r="A257" s="4" t="n"/>
      <c r="B257" s="4" t="n"/>
      <c r="C257" s="4" t="n"/>
      <c r="D257" s="4" t="n"/>
      <c r="E257" s="4" t="n"/>
      <c r="F257" s="4" t="n"/>
      <c r="G257" s="4" t="n"/>
      <c r="H257" s="4" t="n"/>
      <c r="I257" s="4" t="n"/>
    </row>
    <row r="258" ht="15.75" customHeight="1" s="85">
      <c r="A258" s="4" t="n"/>
      <c r="B258" s="4" t="n"/>
      <c r="C258" s="4" t="n"/>
      <c r="D258" s="4" t="n"/>
      <c r="E258" s="4" t="n"/>
      <c r="F258" s="4" t="n"/>
      <c r="G258" s="4" t="n"/>
      <c r="H258" s="4" t="n"/>
      <c r="I258" s="4" t="n"/>
    </row>
    <row r="259" ht="15.75" customHeight="1" s="85">
      <c r="A259" s="4" t="n"/>
      <c r="B259" s="4" t="n"/>
      <c r="C259" s="4" t="n"/>
      <c r="D259" s="4" t="n"/>
      <c r="E259" s="4" t="n"/>
      <c r="F259" s="4" t="n"/>
      <c r="G259" s="4" t="n"/>
      <c r="H259" s="4" t="n"/>
      <c r="I259" s="4" t="n"/>
    </row>
    <row r="260" ht="15.75" customHeight="1" s="85">
      <c r="A260" s="4" t="n"/>
      <c r="B260" s="4" t="n"/>
      <c r="C260" s="4" t="n"/>
      <c r="D260" s="4" t="n"/>
      <c r="E260" s="4" t="n"/>
      <c r="F260" s="4" t="n"/>
      <c r="G260" s="4" t="n"/>
      <c r="H260" s="4" t="n"/>
      <c r="I260" s="4" t="n"/>
    </row>
    <row r="261" ht="15.75" customHeight="1" s="85">
      <c r="A261" s="4" t="n"/>
      <c r="B261" s="4" t="n"/>
      <c r="C261" s="4" t="n"/>
      <c r="D261" s="4" t="n"/>
      <c r="E261" s="4" t="n"/>
      <c r="F261" s="4" t="n"/>
      <c r="G261" s="4" t="n"/>
      <c r="H261" s="4" t="n"/>
      <c r="I261" s="4" t="n"/>
    </row>
    <row r="262" ht="15.75" customHeight="1" s="85">
      <c r="A262" s="4" t="n"/>
      <c r="B262" s="4" t="n"/>
      <c r="C262" s="4" t="n"/>
      <c r="D262" s="4" t="n"/>
      <c r="E262" s="4" t="n"/>
      <c r="F262" s="4" t="n"/>
      <c r="G262" s="4" t="n"/>
      <c r="H262" s="4" t="n"/>
      <c r="I262" s="4" t="n"/>
    </row>
    <row r="263" ht="15.75" customHeight="1" s="85">
      <c r="A263" s="4" t="n"/>
      <c r="B263" s="4" t="n"/>
      <c r="C263" s="4" t="n"/>
      <c r="D263" s="4" t="n"/>
      <c r="E263" s="4" t="n"/>
      <c r="F263" s="4" t="n"/>
      <c r="G263" s="4" t="n"/>
      <c r="H263" s="4" t="n"/>
      <c r="I263" s="4" t="n"/>
    </row>
    <row r="264" ht="15.75" customHeight="1" s="85">
      <c r="A264" s="4" t="n"/>
      <c r="B264" s="4" t="n"/>
      <c r="C264" s="4" t="n"/>
      <c r="D264" s="4" t="n"/>
      <c r="E264" s="4" t="n"/>
      <c r="F264" s="4" t="n"/>
      <c r="G264" s="4" t="n"/>
      <c r="H264" s="4" t="n"/>
      <c r="I264" s="4" t="n"/>
    </row>
    <row r="265" ht="15.75" customHeight="1" s="85">
      <c r="A265" s="4" t="n"/>
      <c r="B265" s="4" t="n"/>
      <c r="C265" s="4" t="n"/>
      <c r="D265" s="4" t="n"/>
      <c r="E265" s="4" t="n"/>
      <c r="F265" s="4" t="n"/>
      <c r="G265" s="4" t="n"/>
      <c r="H265" s="4" t="n"/>
      <c r="I265" s="4" t="n"/>
    </row>
    <row r="266" ht="15.75" customHeight="1" s="85">
      <c r="A266" s="4" t="n"/>
      <c r="B266" s="4" t="n"/>
      <c r="C266" s="4" t="n"/>
      <c r="D266" s="4" t="n"/>
      <c r="E266" s="4" t="n"/>
      <c r="F266" s="4" t="n"/>
      <c r="G266" s="4" t="n"/>
      <c r="H266" s="4" t="n"/>
      <c r="I266" s="4" t="n"/>
    </row>
    <row r="267" ht="15.75" customHeight="1" s="85">
      <c r="A267" s="4" t="n"/>
      <c r="B267" s="4" t="n"/>
      <c r="C267" s="4" t="n"/>
      <c r="D267" s="4" t="n"/>
      <c r="E267" s="4" t="n"/>
      <c r="F267" s="4" t="n"/>
      <c r="G267" s="4" t="n"/>
      <c r="H267" s="4" t="n"/>
      <c r="I267" s="4" t="n"/>
    </row>
    <row r="268" ht="15.75" customHeight="1" s="85">
      <c r="A268" s="4" t="n"/>
      <c r="B268" s="4" t="n"/>
      <c r="C268" s="4" t="n"/>
      <c r="D268" s="4" t="n"/>
      <c r="E268" s="4" t="n"/>
      <c r="F268" s="4" t="n"/>
      <c r="G268" s="4" t="n"/>
      <c r="H268" s="4" t="n"/>
      <c r="I268" s="4" t="n"/>
    </row>
    <row r="269" ht="15.75" customHeight="1" s="85">
      <c r="A269" s="4" t="n"/>
      <c r="B269" s="4" t="n"/>
      <c r="C269" s="4" t="n"/>
      <c r="D269" s="4" t="n"/>
      <c r="E269" s="4" t="n"/>
      <c r="F269" s="4" t="n"/>
      <c r="G269" s="4" t="n"/>
      <c r="H269" s="4" t="n"/>
      <c r="I269" s="4" t="n"/>
    </row>
    <row r="270" ht="15.75" customHeight="1" s="85">
      <c r="A270" s="4" t="n"/>
      <c r="B270" s="4" t="n"/>
      <c r="C270" s="4" t="n"/>
      <c r="D270" s="4" t="n"/>
      <c r="E270" s="4" t="n"/>
      <c r="F270" s="4" t="n"/>
      <c r="G270" s="4" t="n"/>
      <c r="H270" s="4" t="n"/>
      <c r="I270" s="4" t="n"/>
    </row>
    <row r="271" ht="15.75" customHeight="1" s="85">
      <c r="A271" s="4" t="n"/>
      <c r="B271" s="4" t="n"/>
      <c r="C271" s="4" t="n"/>
      <c r="D271" s="4" t="n"/>
      <c r="E271" s="4" t="n"/>
      <c r="F271" s="4" t="n"/>
      <c r="G271" s="4" t="n"/>
      <c r="H271" s="4" t="n"/>
      <c r="I271" s="4" t="n"/>
    </row>
    <row r="272" ht="15.75" customHeight="1" s="85">
      <c r="A272" s="4" t="n"/>
      <c r="B272" s="4" t="n"/>
      <c r="C272" s="4" t="n"/>
      <c r="D272" s="4" t="n"/>
      <c r="E272" s="4" t="n"/>
      <c r="F272" s="4" t="n"/>
      <c r="G272" s="4" t="n"/>
      <c r="H272" s="4" t="n"/>
      <c r="I272" s="4" t="n"/>
    </row>
    <row r="273" ht="15.75" customHeight="1" s="85">
      <c r="A273" s="4" t="n"/>
      <c r="B273" s="4" t="n"/>
      <c r="C273" s="4" t="n"/>
      <c r="D273" s="4" t="n"/>
      <c r="E273" s="4" t="n"/>
      <c r="F273" s="4" t="n"/>
      <c r="G273" s="4" t="n"/>
      <c r="H273" s="4" t="n"/>
      <c r="I273" s="4" t="n"/>
    </row>
    <row r="274" ht="15.75" customHeight="1" s="85">
      <c r="A274" s="4" t="n"/>
      <c r="B274" s="4" t="n"/>
      <c r="C274" s="4" t="n"/>
      <c r="D274" s="4" t="n"/>
      <c r="E274" s="4" t="n"/>
      <c r="F274" s="4" t="n"/>
      <c r="G274" s="4" t="n"/>
      <c r="H274" s="4" t="n"/>
      <c r="I274" s="4" t="n"/>
    </row>
    <row r="275" ht="15.75" customHeight="1" s="85">
      <c r="A275" s="4" t="n"/>
      <c r="B275" s="4" t="n"/>
      <c r="C275" s="4" t="n"/>
      <c r="D275" s="4" t="n"/>
      <c r="E275" s="4" t="n"/>
      <c r="F275" s="4" t="n"/>
      <c r="G275" s="4" t="n"/>
      <c r="H275" s="4" t="n"/>
      <c r="I275" s="4" t="n"/>
    </row>
    <row r="276" ht="15.75" customHeight="1" s="85">
      <c r="A276" s="4" t="n"/>
      <c r="B276" s="4" t="n"/>
      <c r="C276" s="4" t="n"/>
      <c r="D276" s="4" t="n"/>
      <c r="E276" s="4" t="n"/>
      <c r="F276" s="4" t="n"/>
      <c r="G276" s="4" t="n"/>
      <c r="H276" s="4" t="n"/>
      <c r="I276" s="4" t="n"/>
    </row>
    <row r="277" ht="15.75" customHeight="1" s="85">
      <c r="A277" s="4" t="n"/>
      <c r="B277" s="4" t="n"/>
      <c r="C277" s="4" t="n"/>
      <c r="D277" s="4" t="n"/>
      <c r="E277" s="4" t="n"/>
      <c r="F277" s="4" t="n"/>
      <c r="G277" s="4" t="n"/>
      <c r="H277" s="4" t="n"/>
      <c r="I277" s="4" t="n"/>
    </row>
    <row r="278" ht="15.75" customHeight="1" s="85">
      <c r="A278" s="4" t="n"/>
      <c r="B278" s="4" t="n"/>
      <c r="C278" s="4" t="n"/>
      <c r="D278" s="4" t="n"/>
      <c r="E278" s="4" t="n"/>
      <c r="F278" s="4" t="n"/>
      <c r="G278" s="4" t="n"/>
      <c r="H278" s="4" t="n"/>
      <c r="I278" s="4" t="n"/>
    </row>
    <row r="279" ht="15.75" customHeight="1" s="85">
      <c r="A279" s="4" t="n"/>
      <c r="B279" s="4" t="n"/>
      <c r="C279" s="4" t="n"/>
      <c r="D279" s="4" t="n"/>
      <c r="E279" s="4" t="n"/>
      <c r="F279" s="4" t="n"/>
      <c r="G279" s="4" t="n"/>
      <c r="H279" s="4" t="n"/>
      <c r="I279" s="4" t="n"/>
    </row>
    <row r="280" ht="15.75" customHeight="1" s="85">
      <c r="A280" s="4" t="n"/>
      <c r="B280" s="4" t="n"/>
      <c r="C280" s="4" t="n"/>
      <c r="D280" s="4" t="n"/>
      <c r="E280" s="4" t="n"/>
      <c r="F280" s="4" t="n"/>
      <c r="G280" s="4" t="n"/>
      <c r="H280" s="4" t="n"/>
      <c r="I280" s="4" t="n"/>
    </row>
    <row r="281" ht="15.75" customHeight="1" s="85">
      <c r="A281" s="4" t="n"/>
      <c r="B281" s="4" t="n"/>
      <c r="C281" s="4" t="n"/>
      <c r="D281" s="4" t="n"/>
      <c r="E281" s="4" t="n"/>
      <c r="F281" s="4" t="n"/>
      <c r="G281" s="4" t="n"/>
      <c r="H281" s="4" t="n"/>
      <c r="I281" s="4" t="n"/>
    </row>
    <row r="282" ht="15.75" customHeight="1" s="85">
      <c r="A282" s="4" t="n"/>
      <c r="B282" s="4" t="n"/>
      <c r="C282" s="4" t="n"/>
      <c r="D282" s="4" t="n"/>
      <c r="E282" s="4" t="n"/>
      <c r="F282" s="4" t="n"/>
      <c r="G282" s="4" t="n"/>
      <c r="H282" s="4" t="n"/>
      <c r="I282" s="4" t="n"/>
    </row>
    <row r="283" ht="15.75" customHeight="1" s="85">
      <c r="A283" s="4" t="n"/>
      <c r="B283" s="4" t="n"/>
      <c r="C283" s="4" t="n"/>
      <c r="D283" s="4" t="n"/>
      <c r="E283" s="4" t="n"/>
      <c r="F283" s="4" t="n"/>
      <c r="G283" s="4" t="n"/>
      <c r="H283" s="4" t="n"/>
      <c r="I283" s="4" t="n"/>
    </row>
    <row r="284" ht="15.75" customHeight="1" s="85">
      <c r="A284" s="4" t="n"/>
      <c r="B284" s="4" t="n"/>
      <c r="C284" s="4" t="n"/>
      <c r="D284" s="4" t="n"/>
      <c r="E284" s="4" t="n"/>
      <c r="F284" s="4" t="n"/>
      <c r="G284" s="4" t="n"/>
      <c r="H284" s="4" t="n"/>
      <c r="I284" s="4" t="n"/>
    </row>
    <row r="285" ht="15.75" customHeight="1" s="85">
      <c r="A285" s="4" t="n"/>
      <c r="B285" s="4" t="n"/>
      <c r="C285" s="4" t="n"/>
      <c r="D285" s="4" t="n"/>
      <c r="E285" s="4" t="n"/>
      <c r="F285" s="4" t="n"/>
      <c r="G285" s="4" t="n"/>
      <c r="H285" s="4" t="n"/>
      <c r="I285" s="4" t="n"/>
    </row>
    <row r="286" ht="15.75" customHeight="1" s="85">
      <c r="A286" s="4" t="n"/>
      <c r="B286" s="4" t="n"/>
      <c r="C286" s="4" t="n"/>
      <c r="D286" s="4" t="n"/>
      <c r="E286" s="4" t="n"/>
      <c r="F286" s="4" t="n"/>
      <c r="G286" s="4" t="n"/>
      <c r="H286" s="4" t="n"/>
      <c r="I286" s="4" t="n"/>
    </row>
    <row r="287" ht="15.75" customHeight="1" s="85">
      <c r="A287" s="4" t="n"/>
      <c r="B287" s="4" t="n"/>
      <c r="C287" s="4" t="n"/>
      <c r="D287" s="4" t="n"/>
      <c r="E287" s="4" t="n"/>
      <c r="F287" s="4" t="n"/>
      <c r="G287" s="4" t="n"/>
      <c r="H287" s="4" t="n"/>
      <c r="I287" s="4" t="n"/>
    </row>
    <row r="288" ht="15.75" customHeight="1" s="85">
      <c r="A288" s="4" t="n"/>
      <c r="B288" s="4" t="n"/>
      <c r="C288" s="4" t="n"/>
      <c r="D288" s="4" t="n"/>
      <c r="E288" s="4" t="n"/>
      <c r="F288" s="4" t="n"/>
      <c r="G288" s="4" t="n"/>
      <c r="H288" s="4" t="n"/>
      <c r="I288" s="4" t="n"/>
    </row>
    <row r="289" ht="15.75" customHeight="1" s="85">
      <c r="A289" s="4" t="n"/>
      <c r="B289" s="4" t="n"/>
      <c r="C289" s="4" t="n"/>
      <c r="D289" s="4" t="n"/>
      <c r="E289" s="4" t="n"/>
      <c r="F289" s="4" t="n"/>
      <c r="G289" s="4" t="n"/>
      <c r="H289" s="4" t="n"/>
      <c r="I289" s="4" t="n"/>
    </row>
    <row r="290" ht="15.75" customHeight="1" s="85">
      <c r="A290" s="4" t="n"/>
      <c r="B290" s="4" t="n"/>
      <c r="C290" s="4" t="n"/>
      <c r="D290" s="4" t="n"/>
      <c r="E290" s="4" t="n"/>
      <c r="F290" s="4" t="n"/>
      <c r="G290" s="4" t="n"/>
      <c r="H290" s="4" t="n"/>
      <c r="I290" s="4" t="n"/>
    </row>
    <row r="291" ht="15.75" customHeight="1" s="85">
      <c r="A291" s="4" t="n"/>
      <c r="B291" s="4" t="n"/>
      <c r="C291" s="4" t="n"/>
      <c r="D291" s="4" t="n"/>
      <c r="E291" s="4" t="n"/>
      <c r="F291" s="4" t="n"/>
      <c r="G291" s="4" t="n"/>
      <c r="H291" s="4" t="n"/>
      <c r="I291" s="4" t="n"/>
    </row>
    <row r="292" ht="15.75" customHeight="1" s="85">
      <c r="A292" s="4" t="n"/>
      <c r="B292" s="4" t="n"/>
      <c r="C292" s="4" t="n"/>
      <c r="D292" s="4" t="n"/>
      <c r="E292" s="4" t="n"/>
      <c r="F292" s="4" t="n"/>
      <c r="G292" s="4" t="n"/>
      <c r="H292" s="4" t="n"/>
      <c r="I292" s="4" t="n"/>
    </row>
    <row r="293" ht="15.75" customHeight="1" s="85">
      <c r="A293" s="4" t="n"/>
      <c r="B293" s="4" t="n"/>
      <c r="C293" s="4" t="n"/>
      <c r="D293" s="4" t="n"/>
      <c r="E293" s="4" t="n"/>
      <c r="F293" s="4" t="n"/>
      <c r="G293" s="4" t="n"/>
      <c r="H293" s="4" t="n"/>
      <c r="I293" s="4" t="n"/>
    </row>
    <row r="294" ht="15.75" customHeight="1" s="85">
      <c r="A294" s="4" t="n"/>
      <c r="B294" s="4" t="n"/>
      <c r="C294" s="4" t="n"/>
      <c r="D294" s="4" t="n"/>
      <c r="E294" s="4" t="n"/>
      <c r="F294" s="4" t="n"/>
      <c r="G294" s="4" t="n"/>
      <c r="H294" s="4" t="n"/>
      <c r="I294" s="4" t="n"/>
    </row>
    <row r="295" ht="15.75" customHeight="1" s="85">
      <c r="A295" s="4" t="n"/>
      <c r="B295" s="4" t="n"/>
      <c r="C295" s="4" t="n"/>
      <c r="D295" s="4" t="n"/>
      <c r="E295" s="4" t="n"/>
      <c r="F295" s="4" t="n"/>
      <c r="G295" s="4" t="n"/>
      <c r="H295" s="4" t="n"/>
      <c r="I295" s="4" t="n"/>
    </row>
    <row r="296" ht="15.75" customHeight="1" s="85">
      <c r="A296" s="4" t="n"/>
      <c r="B296" s="4" t="n"/>
      <c r="C296" s="4" t="n"/>
      <c r="D296" s="4" t="n"/>
      <c r="E296" s="4" t="n"/>
      <c r="F296" s="4" t="n"/>
      <c r="G296" s="4" t="n"/>
      <c r="H296" s="4" t="n"/>
      <c r="I296" s="4" t="n"/>
    </row>
    <row r="297" ht="15.75" customHeight="1" s="85">
      <c r="A297" s="4" t="n"/>
      <c r="B297" s="4" t="n"/>
      <c r="C297" s="4" t="n"/>
      <c r="D297" s="4" t="n"/>
      <c r="E297" s="4" t="n"/>
      <c r="F297" s="4" t="n"/>
      <c r="G297" s="4" t="n"/>
      <c r="H297" s="4" t="n"/>
      <c r="I297" s="4" t="n"/>
    </row>
    <row r="298" ht="15.75" customHeight="1" s="85">
      <c r="A298" s="4" t="n"/>
      <c r="B298" s="4" t="n"/>
      <c r="C298" s="4" t="n"/>
      <c r="D298" s="4" t="n"/>
      <c r="E298" s="4" t="n"/>
      <c r="F298" s="4" t="n"/>
      <c r="G298" s="4" t="n"/>
      <c r="H298" s="4" t="n"/>
      <c r="I298" s="4" t="n"/>
    </row>
    <row r="299" ht="15.75" customHeight="1" s="85">
      <c r="A299" s="4" t="n"/>
      <c r="B299" s="4" t="n"/>
      <c r="C299" s="4" t="n"/>
      <c r="D299" s="4" t="n"/>
      <c r="E299" s="4" t="n"/>
      <c r="F299" s="4" t="n"/>
      <c r="G299" s="4" t="n"/>
      <c r="H299" s="4" t="n"/>
      <c r="I299" s="4" t="n"/>
    </row>
    <row r="300" ht="15.75" customHeight="1" s="85">
      <c r="A300" s="4" t="n"/>
      <c r="B300" s="4" t="n"/>
      <c r="C300" s="4" t="n"/>
      <c r="D300" s="4" t="n"/>
      <c r="E300" s="4" t="n"/>
      <c r="F300" s="4" t="n"/>
      <c r="G300" s="4" t="n"/>
      <c r="H300" s="4" t="n"/>
      <c r="I300" s="4" t="n"/>
    </row>
    <row r="301" ht="15.75" customHeight="1" s="85">
      <c r="A301" s="4" t="n"/>
      <c r="B301" s="4" t="n"/>
      <c r="C301" s="4" t="n"/>
      <c r="D301" s="4" t="n"/>
      <c r="E301" s="4" t="n"/>
      <c r="F301" s="4" t="n"/>
      <c r="G301" s="4" t="n"/>
      <c r="H301" s="4" t="n"/>
      <c r="I301" s="4" t="n"/>
    </row>
    <row r="302" ht="15.75" customHeight="1" s="85">
      <c r="A302" s="4" t="n"/>
      <c r="B302" s="4" t="n"/>
      <c r="C302" s="4" t="n"/>
      <c r="D302" s="4" t="n"/>
      <c r="E302" s="4" t="n"/>
      <c r="F302" s="4" t="n"/>
      <c r="G302" s="4" t="n"/>
      <c r="H302" s="4" t="n"/>
      <c r="I302" s="4" t="n"/>
    </row>
    <row r="303" ht="15.75" customHeight="1" s="85">
      <c r="A303" s="4" t="n"/>
      <c r="B303" s="4" t="n"/>
      <c r="C303" s="4" t="n"/>
      <c r="D303" s="4" t="n"/>
      <c r="E303" s="4" t="n"/>
      <c r="F303" s="4" t="n"/>
      <c r="G303" s="4" t="n"/>
      <c r="H303" s="4" t="n"/>
      <c r="I303" s="4" t="n"/>
    </row>
    <row r="304" ht="15.75" customHeight="1" s="85">
      <c r="A304" s="4" t="n"/>
      <c r="B304" s="4" t="n"/>
      <c r="C304" s="4" t="n"/>
      <c r="D304" s="4" t="n"/>
      <c r="E304" s="4" t="n"/>
      <c r="F304" s="4" t="n"/>
      <c r="G304" s="4" t="n"/>
      <c r="H304" s="4" t="n"/>
      <c r="I304" s="4" t="n"/>
    </row>
    <row r="305" ht="15.75" customHeight="1" s="85">
      <c r="A305" s="4" t="n"/>
      <c r="B305" s="4" t="n"/>
      <c r="C305" s="4" t="n"/>
      <c r="D305" s="4" t="n"/>
      <c r="E305" s="4" t="n"/>
      <c r="F305" s="4" t="n"/>
      <c r="G305" s="4" t="n"/>
      <c r="H305" s="4" t="n"/>
      <c r="I305" s="4" t="n"/>
    </row>
    <row r="306" ht="15.75" customHeight="1" s="85">
      <c r="A306" s="4" t="n"/>
      <c r="B306" s="4" t="n"/>
      <c r="C306" s="4" t="n"/>
      <c r="D306" s="4" t="n"/>
      <c r="E306" s="4" t="n"/>
      <c r="F306" s="4" t="n"/>
      <c r="G306" s="4" t="n"/>
      <c r="H306" s="4" t="n"/>
      <c r="I306" s="4" t="n"/>
    </row>
    <row r="307" ht="15.75" customHeight="1" s="85">
      <c r="A307" s="4" t="n"/>
      <c r="B307" s="4" t="n"/>
      <c r="C307" s="4" t="n"/>
      <c r="D307" s="4" t="n"/>
      <c r="E307" s="4" t="n"/>
      <c r="F307" s="4" t="n"/>
      <c r="G307" s="4" t="n"/>
      <c r="H307" s="4" t="n"/>
      <c r="I307" s="4" t="n"/>
    </row>
    <row r="308" ht="15.75" customHeight="1" s="85">
      <c r="A308" s="4" t="n"/>
      <c r="B308" s="4" t="n"/>
      <c r="C308" s="4" t="n"/>
      <c r="D308" s="4" t="n"/>
      <c r="E308" s="4" t="n"/>
      <c r="F308" s="4" t="n"/>
      <c r="G308" s="4" t="n"/>
      <c r="H308" s="4" t="n"/>
      <c r="I308" s="4" t="n"/>
    </row>
    <row r="309" ht="15.75" customHeight="1" s="85">
      <c r="A309" s="4" t="n"/>
      <c r="B309" s="4" t="n"/>
      <c r="C309" s="4" t="n"/>
      <c r="D309" s="4" t="n"/>
      <c r="E309" s="4" t="n"/>
      <c r="F309" s="4" t="n"/>
      <c r="G309" s="4" t="n"/>
      <c r="H309" s="4" t="n"/>
      <c r="I309" s="4" t="n"/>
    </row>
    <row r="310" ht="15.75" customHeight="1" s="85">
      <c r="A310" s="4" t="n"/>
      <c r="B310" s="4" t="n"/>
      <c r="C310" s="4" t="n"/>
      <c r="D310" s="4" t="n"/>
      <c r="E310" s="4" t="n"/>
      <c r="F310" s="4" t="n"/>
      <c r="G310" s="4" t="n"/>
      <c r="H310" s="4" t="n"/>
      <c r="I310" s="4" t="n"/>
    </row>
    <row r="311" ht="15.75" customHeight="1" s="85">
      <c r="A311" s="4" t="n"/>
      <c r="B311" s="4" t="n"/>
      <c r="C311" s="4" t="n"/>
      <c r="D311" s="4" t="n"/>
      <c r="E311" s="4" t="n"/>
      <c r="F311" s="4" t="n"/>
      <c r="G311" s="4" t="n"/>
      <c r="H311" s="4" t="n"/>
      <c r="I311" s="4" t="n"/>
    </row>
    <row r="312" ht="15.75" customHeight="1" s="85">
      <c r="A312" s="4" t="n"/>
      <c r="B312" s="4" t="n"/>
      <c r="C312" s="4" t="n"/>
      <c r="D312" s="4" t="n"/>
      <c r="E312" s="4" t="n"/>
      <c r="F312" s="4" t="n"/>
      <c r="G312" s="4" t="n"/>
      <c r="H312" s="4" t="n"/>
      <c r="I312" s="4" t="n"/>
    </row>
    <row r="313" ht="15.75" customHeight="1" s="85">
      <c r="A313" s="4" t="n"/>
      <c r="B313" s="4" t="n"/>
      <c r="C313" s="4" t="n"/>
      <c r="D313" s="4" t="n"/>
      <c r="E313" s="4" t="n"/>
      <c r="F313" s="4" t="n"/>
      <c r="G313" s="4" t="n"/>
      <c r="H313" s="4" t="n"/>
      <c r="I313" s="4" t="n"/>
    </row>
    <row r="314" ht="15.75" customHeight="1" s="85">
      <c r="A314" s="4" t="n"/>
      <c r="B314" s="4" t="n"/>
      <c r="C314" s="4" t="n"/>
      <c r="D314" s="4" t="n"/>
      <c r="E314" s="4" t="n"/>
      <c r="F314" s="4" t="n"/>
      <c r="G314" s="4" t="n"/>
      <c r="H314" s="4" t="n"/>
      <c r="I314" s="4" t="n"/>
    </row>
    <row r="315" ht="15.75" customHeight="1" s="85">
      <c r="A315" s="4" t="n"/>
      <c r="B315" s="4" t="n"/>
      <c r="C315" s="4" t="n"/>
      <c r="D315" s="4" t="n"/>
      <c r="E315" s="4" t="n"/>
      <c r="F315" s="4" t="n"/>
      <c r="G315" s="4" t="n"/>
      <c r="H315" s="4" t="n"/>
      <c r="I315" s="4" t="n"/>
    </row>
    <row r="316" ht="15.75" customHeight="1" s="85">
      <c r="A316" s="4" t="n"/>
      <c r="B316" s="4" t="n"/>
      <c r="C316" s="4" t="n"/>
      <c r="D316" s="4" t="n"/>
      <c r="E316" s="4" t="n"/>
      <c r="F316" s="4" t="n"/>
      <c r="G316" s="4" t="n"/>
      <c r="H316" s="4" t="n"/>
      <c r="I316" s="4" t="n"/>
    </row>
    <row r="317" ht="15.75" customHeight="1" s="85">
      <c r="A317" s="4" t="n"/>
      <c r="B317" s="4" t="n"/>
      <c r="C317" s="4" t="n"/>
      <c r="D317" s="4" t="n"/>
      <c r="E317" s="4" t="n"/>
      <c r="F317" s="4" t="n"/>
      <c r="G317" s="4" t="n"/>
      <c r="H317" s="4" t="n"/>
      <c r="I317" s="4" t="n"/>
    </row>
    <row r="318" ht="15.75" customHeight="1" s="85">
      <c r="A318" s="4" t="n"/>
      <c r="B318" s="4" t="n"/>
      <c r="C318" s="4" t="n"/>
      <c r="D318" s="4" t="n"/>
      <c r="E318" s="4" t="n"/>
      <c r="F318" s="4" t="n"/>
      <c r="G318" s="4" t="n"/>
      <c r="H318" s="4" t="n"/>
      <c r="I318" s="4" t="n"/>
    </row>
    <row r="319" ht="15.75" customHeight="1" s="85">
      <c r="A319" s="4" t="n"/>
      <c r="B319" s="4" t="n"/>
      <c r="C319" s="4" t="n"/>
      <c r="D319" s="4" t="n"/>
      <c r="E319" s="4" t="n"/>
      <c r="F319" s="4" t="n"/>
      <c r="G319" s="4" t="n"/>
      <c r="H319" s="4" t="n"/>
      <c r="I319" s="4" t="n"/>
    </row>
    <row r="320" ht="15.75" customHeight="1" s="85">
      <c r="A320" s="4" t="n"/>
      <c r="B320" s="4" t="n"/>
      <c r="C320" s="4" t="n"/>
      <c r="D320" s="4" t="n"/>
      <c r="E320" s="4" t="n"/>
      <c r="F320" s="4" t="n"/>
      <c r="G320" s="4" t="n"/>
      <c r="H320" s="4" t="n"/>
      <c r="I320" s="4" t="n"/>
    </row>
    <row r="321" ht="15.75" customHeight="1" s="85">
      <c r="A321" s="4" t="n"/>
      <c r="B321" s="4" t="n"/>
      <c r="C321" s="4" t="n"/>
      <c r="D321" s="4" t="n"/>
      <c r="E321" s="4" t="n"/>
      <c r="F321" s="4" t="n"/>
      <c r="G321" s="4" t="n"/>
      <c r="H321" s="4" t="n"/>
      <c r="I321" s="4" t="n"/>
    </row>
    <row r="322" ht="15.75" customHeight="1" s="85">
      <c r="A322" s="4" t="n"/>
      <c r="B322" s="4" t="n"/>
      <c r="C322" s="4" t="n"/>
      <c r="D322" s="4" t="n"/>
      <c r="E322" s="4" t="n"/>
      <c r="F322" s="4" t="n"/>
      <c r="G322" s="4" t="n"/>
      <c r="H322" s="4" t="n"/>
      <c r="I322" s="4" t="n"/>
    </row>
    <row r="323" ht="15.75" customHeight="1" s="85">
      <c r="A323" s="4" t="n"/>
      <c r="B323" s="4" t="n"/>
      <c r="C323" s="4" t="n"/>
      <c r="D323" s="4" t="n"/>
      <c r="E323" s="4" t="n"/>
      <c r="F323" s="4" t="n"/>
      <c r="G323" s="4" t="n"/>
      <c r="H323" s="4" t="n"/>
      <c r="I323" s="4" t="n"/>
    </row>
    <row r="324" ht="15.75" customHeight="1" s="85">
      <c r="A324" s="4" t="n"/>
      <c r="B324" s="4" t="n"/>
      <c r="C324" s="4" t="n"/>
      <c r="D324" s="4" t="n"/>
      <c r="E324" s="4" t="n"/>
      <c r="F324" s="4" t="n"/>
      <c r="G324" s="4" t="n"/>
      <c r="H324" s="4" t="n"/>
      <c r="I324" s="4" t="n"/>
    </row>
    <row r="325" ht="15.75" customHeight="1" s="85">
      <c r="A325" s="4" t="n"/>
      <c r="B325" s="4" t="n"/>
      <c r="C325" s="4" t="n"/>
      <c r="D325" s="4" t="n"/>
      <c r="E325" s="4" t="n"/>
      <c r="F325" s="4" t="n"/>
      <c r="G325" s="4" t="n"/>
      <c r="H325" s="4" t="n"/>
      <c r="I325" s="4" t="n"/>
    </row>
    <row r="326" ht="15.75" customHeight="1" s="85">
      <c r="A326" s="4" t="n"/>
      <c r="B326" s="4" t="n"/>
      <c r="C326" s="4" t="n"/>
      <c r="D326" s="4" t="n"/>
      <c r="E326" s="4" t="n"/>
      <c r="F326" s="4" t="n"/>
      <c r="G326" s="4" t="n"/>
      <c r="H326" s="4" t="n"/>
      <c r="I326" s="4" t="n"/>
    </row>
    <row r="327" ht="15.75" customHeight="1" s="85">
      <c r="A327" s="4" t="n"/>
      <c r="B327" s="4" t="n"/>
      <c r="C327" s="4" t="n"/>
      <c r="D327" s="4" t="n"/>
      <c r="E327" s="4" t="n"/>
      <c r="F327" s="4" t="n"/>
      <c r="G327" s="4" t="n"/>
      <c r="H327" s="4" t="n"/>
      <c r="I327" s="4" t="n"/>
    </row>
    <row r="328" ht="15.75" customHeight="1" s="85">
      <c r="A328" s="4" t="n"/>
      <c r="B328" s="4" t="n"/>
      <c r="C328" s="4" t="n"/>
      <c r="D328" s="4" t="n"/>
      <c r="E328" s="4" t="n"/>
      <c r="F328" s="4" t="n"/>
      <c r="G328" s="4" t="n"/>
      <c r="H328" s="4" t="n"/>
      <c r="I328" s="4" t="n"/>
    </row>
    <row r="329" ht="15.75" customHeight="1" s="85">
      <c r="A329" s="4" t="n"/>
      <c r="B329" s="4" t="n"/>
      <c r="C329" s="4" t="n"/>
      <c r="D329" s="4" t="n"/>
      <c r="E329" s="4" t="n"/>
      <c r="F329" s="4" t="n"/>
      <c r="G329" s="4" t="n"/>
      <c r="H329" s="4" t="n"/>
      <c r="I329" s="4" t="n"/>
    </row>
    <row r="330" ht="15.75" customHeight="1" s="85">
      <c r="A330" s="4" t="n"/>
      <c r="B330" s="4" t="n"/>
      <c r="C330" s="4" t="n"/>
      <c r="D330" s="4" t="n"/>
      <c r="E330" s="4" t="n"/>
      <c r="F330" s="4" t="n"/>
      <c r="G330" s="4" t="n"/>
      <c r="H330" s="4" t="n"/>
      <c r="I330" s="4" t="n"/>
    </row>
    <row r="331" ht="15.75" customHeight="1" s="85">
      <c r="A331" s="4" t="n"/>
      <c r="B331" s="4" t="n"/>
      <c r="C331" s="4" t="n"/>
      <c r="D331" s="4" t="n"/>
      <c r="E331" s="4" t="n"/>
      <c r="F331" s="4" t="n"/>
      <c r="G331" s="4" t="n"/>
      <c r="H331" s="4" t="n"/>
      <c r="I331" s="4" t="n"/>
    </row>
    <row r="332" ht="15.75" customHeight="1" s="85">
      <c r="A332" s="4" t="n"/>
      <c r="B332" s="4" t="n"/>
      <c r="C332" s="4" t="n"/>
      <c r="D332" s="4" t="n"/>
      <c r="E332" s="4" t="n"/>
      <c r="F332" s="4" t="n"/>
      <c r="G332" s="4" t="n"/>
      <c r="H332" s="4" t="n"/>
      <c r="I332" s="4" t="n"/>
    </row>
    <row r="333" ht="15.75" customHeight="1" s="85">
      <c r="A333" s="4" t="n"/>
      <c r="B333" s="4" t="n"/>
      <c r="C333" s="4" t="n"/>
      <c r="D333" s="4" t="n"/>
      <c r="E333" s="4" t="n"/>
      <c r="F333" s="4" t="n"/>
      <c r="G333" s="4" t="n"/>
      <c r="H333" s="4" t="n"/>
      <c r="I333" s="4" t="n"/>
    </row>
    <row r="334" ht="15.75" customHeight="1" s="85">
      <c r="A334" s="4" t="n"/>
      <c r="B334" s="4" t="n"/>
      <c r="C334" s="4" t="n"/>
      <c r="D334" s="4" t="n"/>
      <c r="E334" s="4" t="n"/>
      <c r="F334" s="4" t="n"/>
      <c r="G334" s="4" t="n"/>
      <c r="H334" s="4" t="n"/>
      <c r="I334" s="4" t="n"/>
    </row>
    <row r="335" ht="15.75" customHeight="1" s="85">
      <c r="A335" s="4" t="n"/>
      <c r="B335" s="4" t="n"/>
      <c r="C335" s="4" t="n"/>
      <c r="D335" s="4" t="n"/>
      <c r="E335" s="4" t="n"/>
      <c r="F335" s="4" t="n"/>
      <c r="G335" s="4" t="n"/>
      <c r="H335" s="4" t="n"/>
      <c r="I335" s="4" t="n"/>
    </row>
    <row r="336" ht="15.75" customHeight="1" s="85">
      <c r="A336" s="4" t="n"/>
      <c r="B336" s="4" t="n"/>
      <c r="C336" s="4" t="n"/>
      <c r="D336" s="4" t="n"/>
      <c r="E336" s="4" t="n"/>
      <c r="F336" s="4" t="n"/>
      <c r="G336" s="4" t="n"/>
      <c r="H336" s="4" t="n"/>
      <c r="I336" s="4" t="n"/>
    </row>
    <row r="337" ht="15.75" customHeight="1" s="85">
      <c r="A337" s="4" t="n"/>
      <c r="B337" s="4" t="n"/>
      <c r="C337" s="4" t="n"/>
      <c r="D337" s="4" t="n"/>
      <c r="E337" s="4" t="n"/>
      <c r="F337" s="4" t="n"/>
      <c r="G337" s="4" t="n"/>
      <c r="H337" s="4" t="n"/>
      <c r="I337" s="4" t="n"/>
    </row>
    <row r="338" ht="15.75" customHeight="1" s="85">
      <c r="A338" s="4" t="n"/>
      <c r="B338" s="4" t="n"/>
      <c r="C338" s="4" t="n"/>
      <c r="D338" s="4" t="n"/>
      <c r="E338" s="4" t="n"/>
      <c r="F338" s="4" t="n"/>
      <c r="G338" s="4" t="n"/>
      <c r="H338" s="4" t="n"/>
      <c r="I338" s="4" t="n"/>
    </row>
    <row r="339" ht="15.75" customHeight="1" s="85">
      <c r="A339" s="4" t="n"/>
      <c r="B339" s="4" t="n"/>
      <c r="C339" s="4" t="n"/>
      <c r="D339" s="4" t="n"/>
      <c r="E339" s="4" t="n"/>
      <c r="F339" s="4" t="n"/>
      <c r="G339" s="4" t="n"/>
      <c r="H339" s="4" t="n"/>
      <c r="I339" s="4" t="n"/>
    </row>
    <row r="340" ht="15.75" customHeight="1" s="85">
      <c r="A340" s="4" t="n"/>
      <c r="B340" s="4" t="n"/>
      <c r="C340" s="4" t="n"/>
      <c r="D340" s="4" t="n"/>
      <c r="E340" s="4" t="n"/>
      <c r="F340" s="4" t="n"/>
      <c r="G340" s="4" t="n"/>
      <c r="H340" s="4" t="n"/>
      <c r="I340" s="4" t="n"/>
    </row>
    <row r="341" ht="15.75" customHeight="1" s="85">
      <c r="A341" s="4" t="n"/>
      <c r="B341" s="4" t="n"/>
      <c r="C341" s="4" t="n"/>
      <c r="D341" s="4" t="n"/>
      <c r="E341" s="4" t="n"/>
      <c r="F341" s="4" t="n"/>
      <c r="G341" s="4" t="n"/>
      <c r="H341" s="4" t="n"/>
      <c r="I341" s="4" t="n"/>
    </row>
    <row r="342" ht="15.75" customHeight="1" s="85">
      <c r="A342" s="4" t="n"/>
      <c r="B342" s="4" t="n"/>
      <c r="C342" s="4" t="n"/>
      <c r="D342" s="4" t="n"/>
      <c r="E342" s="4" t="n"/>
      <c r="F342" s="4" t="n"/>
      <c r="G342" s="4" t="n"/>
      <c r="H342" s="4" t="n"/>
      <c r="I342" s="4" t="n"/>
    </row>
    <row r="343" ht="15.75" customHeight="1" s="85">
      <c r="A343" s="4" t="n"/>
      <c r="B343" s="4" t="n"/>
      <c r="C343" s="4" t="n"/>
      <c r="D343" s="4" t="n"/>
      <c r="E343" s="4" t="n"/>
      <c r="F343" s="4" t="n"/>
      <c r="G343" s="4" t="n"/>
      <c r="H343" s="4" t="n"/>
      <c r="I343" s="4" t="n"/>
    </row>
    <row r="344" ht="15.75" customHeight="1" s="85">
      <c r="A344" s="4" t="n"/>
      <c r="B344" s="4" t="n"/>
      <c r="C344" s="4" t="n"/>
      <c r="D344" s="4" t="n"/>
      <c r="E344" s="4" t="n"/>
      <c r="F344" s="4" t="n"/>
      <c r="G344" s="4" t="n"/>
      <c r="H344" s="4" t="n"/>
      <c r="I344" s="4" t="n"/>
    </row>
    <row r="345" ht="15.75" customHeight="1" s="85">
      <c r="A345" s="4" t="n"/>
      <c r="B345" s="4" t="n"/>
      <c r="C345" s="4" t="n"/>
      <c r="D345" s="4" t="n"/>
      <c r="E345" s="4" t="n"/>
      <c r="F345" s="4" t="n"/>
      <c r="G345" s="4" t="n"/>
      <c r="H345" s="4" t="n"/>
      <c r="I345" s="4" t="n"/>
    </row>
    <row r="346" ht="15.75" customHeight="1" s="85">
      <c r="A346" s="4" t="n"/>
      <c r="B346" s="4" t="n"/>
      <c r="C346" s="4" t="n"/>
      <c r="D346" s="4" t="n"/>
      <c r="E346" s="4" t="n"/>
      <c r="F346" s="4" t="n"/>
      <c r="G346" s="4" t="n"/>
      <c r="H346" s="4" t="n"/>
      <c r="I346" s="4" t="n"/>
    </row>
    <row r="347" ht="15.75" customHeight="1" s="85">
      <c r="A347" s="4" t="n"/>
      <c r="B347" s="4" t="n"/>
      <c r="C347" s="4" t="n"/>
      <c r="D347" s="4" t="n"/>
      <c r="E347" s="4" t="n"/>
      <c r="F347" s="4" t="n"/>
      <c r="G347" s="4" t="n"/>
      <c r="H347" s="4" t="n"/>
      <c r="I347" s="4" t="n"/>
    </row>
    <row r="348" ht="15.75" customHeight="1" s="85">
      <c r="A348" s="4" t="n"/>
      <c r="B348" s="4" t="n"/>
      <c r="C348" s="4" t="n"/>
      <c r="D348" s="4" t="n"/>
      <c r="E348" s="4" t="n"/>
      <c r="F348" s="4" t="n"/>
      <c r="G348" s="4" t="n"/>
      <c r="H348" s="4" t="n"/>
      <c r="I348" s="4" t="n"/>
    </row>
    <row r="349" ht="15.75" customHeight="1" s="85">
      <c r="A349" s="4" t="n"/>
      <c r="B349" s="4" t="n"/>
      <c r="C349" s="4" t="n"/>
      <c r="D349" s="4" t="n"/>
      <c r="E349" s="4" t="n"/>
      <c r="F349" s="4" t="n"/>
      <c r="G349" s="4" t="n"/>
      <c r="H349" s="4" t="n"/>
      <c r="I349" s="4" t="n"/>
    </row>
    <row r="350" ht="15.75" customHeight="1" s="85">
      <c r="A350" s="4" t="n"/>
      <c r="B350" s="4" t="n"/>
      <c r="C350" s="4" t="n"/>
      <c r="D350" s="4" t="n"/>
      <c r="E350" s="4" t="n"/>
      <c r="F350" s="4" t="n"/>
      <c r="G350" s="4" t="n"/>
      <c r="H350" s="4" t="n"/>
      <c r="I350" s="4" t="n"/>
    </row>
    <row r="351" ht="15.75" customHeight="1" s="85">
      <c r="A351" s="4" t="n"/>
      <c r="B351" s="4" t="n"/>
      <c r="C351" s="4" t="n"/>
      <c r="D351" s="4" t="n"/>
      <c r="E351" s="4" t="n"/>
      <c r="F351" s="4" t="n"/>
      <c r="G351" s="4" t="n"/>
      <c r="H351" s="4" t="n"/>
      <c r="I351" s="4" t="n"/>
    </row>
    <row r="352" ht="15.75" customHeight="1" s="85">
      <c r="A352" s="4" t="n"/>
      <c r="B352" s="4" t="n"/>
      <c r="C352" s="4" t="n"/>
      <c r="D352" s="4" t="n"/>
      <c r="E352" s="4" t="n"/>
      <c r="F352" s="4" t="n"/>
      <c r="G352" s="4" t="n"/>
      <c r="H352" s="4" t="n"/>
      <c r="I352" s="4" t="n"/>
    </row>
    <row r="353" ht="15.75" customHeight="1" s="85">
      <c r="A353" s="4" t="n"/>
      <c r="B353" s="4" t="n"/>
      <c r="C353" s="4" t="n"/>
      <c r="D353" s="4" t="n"/>
      <c r="E353" s="4" t="n"/>
      <c r="F353" s="4" t="n"/>
      <c r="G353" s="4" t="n"/>
      <c r="H353" s="4" t="n"/>
      <c r="I353" s="4" t="n"/>
    </row>
    <row r="354" ht="15.75" customHeight="1" s="85">
      <c r="A354" s="4" t="n"/>
      <c r="B354" s="4" t="n"/>
      <c r="C354" s="4" t="n"/>
      <c r="D354" s="4" t="n"/>
      <c r="E354" s="4" t="n"/>
      <c r="F354" s="4" t="n"/>
      <c r="G354" s="4" t="n"/>
      <c r="H354" s="4" t="n"/>
      <c r="I354" s="4" t="n"/>
    </row>
    <row r="355" ht="15.75" customHeight="1" s="85">
      <c r="A355" s="4" t="n"/>
      <c r="B355" s="4" t="n"/>
      <c r="C355" s="4" t="n"/>
      <c r="D355" s="4" t="n"/>
      <c r="E355" s="4" t="n"/>
      <c r="F355" s="4" t="n"/>
      <c r="G355" s="4" t="n"/>
      <c r="H355" s="4" t="n"/>
      <c r="I355" s="4" t="n"/>
    </row>
    <row r="356" ht="15.75" customHeight="1" s="85">
      <c r="A356" s="4" t="n"/>
      <c r="B356" s="4" t="n"/>
      <c r="C356" s="4" t="n"/>
      <c r="D356" s="4" t="n"/>
      <c r="E356" s="4" t="n"/>
      <c r="F356" s="4" t="n"/>
      <c r="G356" s="4" t="n"/>
      <c r="H356" s="4" t="n"/>
      <c r="I356" s="4" t="n"/>
    </row>
    <row r="357" ht="15.75" customHeight="1" s="85">
      <c r="A357" s="4" t="n"/>
      <c r="B357" s="4" t="n"/>
      <c r="C357" s="4" t="n"/>
      <c r="D357" s="4" t="n"/>
      <c r="E357" s="4" t="n"/>
      <c r="F357" s="4" t="n"/>
      <c r="G357" s="4" t="n"/>
      <c r="H357" s="4" t="n"/>
      <c r="I357" s="4" t="n"/>
    </row>
    <row r="358" ht="15.75" customHeight="1" s="85">
      <c r="A358" s="4" t="n"/>
      <c r="B358" s="4" t="n"/>
      <c r="C358" s="4" t="n"/>
      <c r="D358" s="4" t="n"/>
      <c r="E358" s="4" t="n"/>
      <c r="F358" s="4" t="n"/>
      <c r="G358" s="4" t="n"/>
      <c r="H358" s="4" t="n"/>
      <c r="I358" s="4" t="n"/>
    </row>
    <row r="359" ht="15.75" customHeight="1" s="85">
      <c r="A359" s="4" t="n"/>
      <c r="B359" s="4" t="n"/>
      <c r="C359" s="4" t="n"/>
      <c r="D359" s="4" t="n"/>
      <c r="E359" s="4" t="n"/>
      <c r="F359" s="4" t="n"/>
      <c r="G359" s="4" t="n"/>
      <c r="H359" s="4" t="n"/>
      <c r="I359" s="4" t="n"/>
    </row>
    <row r="360" ht="15.75" customHeight="1" s="85">
      <c r="A360" s="4" t="n"/>
      <c r="B360" s="4" t="n"/>
      <c r="C360" s="4" t="n"/>
      <c r="D360" s="4" t="n"/>
      <c r="E360" s="4" t="n"/>
      <c r="F360" s="4" t="n"/>
      <c r="G360" s="4" t="n"/>
      <c r="H360" s="4" t="n"/>
      <c r="I360" s="4" t="n"/>
    </row>
    <row r="361" ht="15.75" customHeight="1" s="85">
      <c r="A361" s="4" t="n"/>
      <c r="B361" s="4" t="n"/>
      <c r="C361" s="4" t="n"/>
      <c r="D361" s="4" t="n"/>
      <c r="E361" s="4" t="n"/>
      <c r="F361" s="4" t="n"/>
      <c r="G361" s="4" t="n"/>
      <c r="H361" s="4" t="n"/>
      <c r="I361" s="4" t="n"/>
    </row>
    <row r="362" ht="15.75" customHeight="1" s="85">
      <c r="A362" s="4" t="n"/>
      <c r="B362" s="4" t="n"/>
      <c r="C362" s="4" t="n"/>
      <c r="D362" s="4" t="n"/>
      <c r="E362" s="4" t="n"/>
      <c r="F362" s="4" t="n"/>
      <c r="G362" s="4" t="n"/>
      <c r="H362" s="4" t="n"/>
      <c r="I362" s="4" t="n"/>
    </row>
    <row r="363" ht="15.75" customHeight="1" s="85">
      <c r="A363" s="4" t="n"/>
      <c r="B363" s="4" t="n"/>
      <c r="C363" s="4" t="n"/>
      <c r="D363" s="4" t="n"/>
      <c r="E363" s="4" t="n"/>
      <c r="F363" s="4" t="n"/>
      <c r="G363" s="4" t="n"/>
      <c r="H363" s="4" t="n"/>
      <c r="I363" s="4" t="n"/>
    </row>
    <row r="364" ht="15.75" customHeight="1" s="85">
      <c r="A364" s="4" t="n"/>
      <c r="B364" s="4" t="n"/>
      <c r="C364" s="4" t="n"/>
      <c r="D364" s="4" t="n"/>
      <c r="E364" s="4" t="n"/>
      <c r="F364" s="4" t="n"/>
      <c r="G364" s="4" t="n"/>
      <c r="H364" s="4" t="n"/>
      <c r="I364" s="4" t="n"/>
    </row>
    <row r="365" ht="15.75" customHeight="1" s="85">
      <c r="A365" s="4" t="n"/>
      <c r="B365" s="4" t="n"/>
      <c r="C365" s="4" t="n"/>
      <c r="D365" s="4" t="n"/>
      <c r="E365" s="4" t="n"/>
      <c r="F365" s="4" t="n"/>
      <c r="G365" s="4" t="n"/>
      <c r="H365" s="4" t="n"/>
      <c r="I365" s="4" t="n"/>
    </row>
    <row r="366" ht="15.75" customHeight="1" s="85">
      <c r="A366" s="4" t="n"/>
      <c r="B366" s="4" t="n"/>
      <c r="C366" s="4" t="n"/>
      <c r="D366" s="4" t="n"/>
      <c r="E366" s="4" t="n"/>
      <c r="F366" s="4" t="n"/>
      <c r="G366" s="4" t="n"/>
      <c r="H366" s="4" t="n"/>
      <c r="I366" s="4" t="n"/>
    </row>
    <row r="367" ht="15.75" customHeight="1" s="85">
      <c r="A367" s="4" t="n"/>
      <c r="B367" s="4" t="n"/>
      <c r="C367" s="4" t="n"/>
      <c r="D367" s="4" t="n"/>
      <c r="E367" s="4" t="n"/>
      <c r="F367" s="4" t="n"/>
      <c r="G367" s="4" t="n"/>
      <c r="H367" s="4" t="n"/>
      <c r="I367" s="4" t="n"/>
    </row>
    <row r="368" ht="15.75" customHeight="1" s="85">
      <c r="A368" s="4" t="n"/>
      <c r="B368" s="4" t="n"/>
      <c r="C368" s="4" t="n"/>
      <c r="D368" s="4" t="n"/>
      <c r="E368" s="4" t="n"/>
      <c r="F368" s="4" t="n"/>
      <c r="G368" s="4" t="n"/>
      <c r="H368" s="4" t="n"/>
      <c r="I368" s="4" t="n"/>
    </row>
    <row r="369" ht="15.75" customHeight="1" s="85">
      <c r="A369" s="4" t="n"/>
      <c r="B369" s="4" t="n"/>
      <c r="C369" s="4" t="n"/>
      <c r="D369" s="4" t="n"/>
      <c r="E369" s="4" t="n"/>
      <c r="F369" s="4" t="n"/>
      <c r="G369" s="4" t="n"/>
      <c r="H369" s="4" t="n"/>
      <c r="I369" s="4" t="n"/>
    </row>
    <row r="370" ht="15.75" customHeight="1" s="85">
      <c r="A370" s="4" t="n"/>
      <c r="B370" s="4" t="n"/>
      <c r="C370" s="4" t="n"/>
      <c r="D370" s="4" t="n"/>
      <c r="E370" s="4" t="n"/>
      <c r="F370" s="4" t="n"/>
      <c r="G370" s="4" t="n"/>
      <c r="H370" s="4" t="n"/>
      <c r="I370" s="4" t="n"/>
    </row>
    <row r="371" ht="15.75" customHeight="1" s="85">
      <c r="A371" s="4" t="n"/>
      <c r="B371" s="4" t="n"/>
      <c r="C371" s="4" t="n"/>
      <c r="D371" s="4" t="n"/>
      <c r="E371" s="4" t="n"/>
      <c r="F371" s="4" t="n"/>
      <c r="G371" s="4" t="n"/>
      <c r="H371" s="4" t="n"/>
      <c r="I371" s="4" t="n"/>
    </row>
    <row r="372" ht="15.75" customHeight="1" s="85">
      <c r="A372" s="4" t="n"/>
      <c r="B372" s="4" t="n"/>
      <c r="C372" s="4" t="n"/>
      <c r="D372" s="4" t="n"/>
      <c r="E372" s="4" t="n"/>
      <c r="F372" s="4" t="n"/>
      <c r="G372" s="4" t="n"/>
      <c r="H372" s="4" t="n"/>
      <c r="I372" s="4" t="n"/>
    </row>
    <row r="373" ht="15.75" customHeight="1" s="85">
      <c r="A373" s="4" t="n"/>
      <c r="B373" s="4" t="n"/>
      <c r="C373" s="4" t="n"/>
      <c r="D373" s="4" t="n"/>
      <c r="E373" s="4" t="n"/>
      <c r="F373" s="4" t="n"/>
      <c r="G373" s="4" t="n"/>
      <c r="H373" s="4" t="n"/>
      <c r="I373" s="4" t="n"/>
    </row>
    <row r="374" ht="15.75" customHeight="1" s="85">
      <c r="A374" s="4" t="n"/>
      <c r="B374" s="4" t="n"/>
      <c r="C374" s="4" t="n"/>
      <c r="D374" s="4" t="n"/>
      <c r="E374" s="4" t="n"/>
      <c r="F374" s="4" t="n"/>
      <c r="G374" s="4" t="n"/>
      <c r="H374" s="4" t="n"/>
      <c r="I374" s="4" t="n"/>
    </row>
    <row r="375" ht="15.75" customHeight="1" s="85">
      <c r="A375" s="4" t="n"/>
      <c r="B375" s="4" t="n"/>
      <c r="C375" s="4" t="n"/>
      <c r="D375" s="4" t="n"/>
      <c r="E375" s="4" t="n"/>
      <c r="F375" s="4" t="n"/>
      <c r="G375" s="4" t="n"/>
      <c r="H375" s="4" t="n"/>
      <c r="I375" s="4" t="n"/>
    </row>
    <row r="376" ht="15.75" customHeight="1" s="85">
      <c r="A376" s="4" t="n"/>
      <c r="B376" s="4" t="n"/>
      <c r="C376" s="4" t="n"/>
      <c r="D376" s="4" t="n"/>
      <c r="E376" s="4" t="n"/>
      <c r="F376" s="4" t="n"/>
      <c r="G376" s="4" t="n"/>
      <c r="H376" s="4" t="n"/>
      <c r="I376" s="4" t="n"/>
    </row>
    <row r="377" ht="15.75" customHeight="1" s="85">
      <c r="A377" s="4" t="n"/>
      <c r="B377" s="4" t="n"/>
      <c r="C377" s="4" t="n"/>
      <c r="D377" s="4" t="n"/>
      <c r="E377" s="4" t="n"/>
      <c r="F377" s="4" t="n"/>
      <c r="G377" s="4" t="n"/>
      <c r="H377" s="4" t="n"/>
      <c r="I377" s="4" t="n"/>
    </row>
    <row r="378" ht="15.75" customHeight="1" s="85">
      <c r="A378" s="4" t="n"/>
      <c r="B378" s="4" t="n"/>
      <c r="C378" s="4" t="n"/>
      <c r="D378" s="4" t="n"/>
      <c r="E378" s="4" t="n"/>
      <c r="F378" s="4" t="n"/>
      <c r="G378" s="4" t="n"/>
      <c r="H378" s="4" t="n"/>
      <c r="I378" s="4" t="n"/>
    </row>
    <row r="379" ht="15.75" customHeight="1" s="85">
      <c r="A379" s="4" t="n"/>
      <c r="B379" s="4" t="n"/>
      <c r="C379" s="4" t="n"/>
      <c r="D379" s="4" t="n"/>
      <c r="E379" s="4" t="n"/>
      <c r="F379" s="4" t="n"/>
      <c r="G379" s="4" t="n"/>
      <c r="H379" s="4" t="n"/>
      <c r="I379" s="4" t="n"/>
    </row>
    <row r="380" ht="15.75" customHeight="1" s="85">
      <c r="A380" s="4" t="n"/>
      <c r="B380" s="4" t="n"/>
      <c r="C380" s="4" t="n"/>
      <c r="D380" s="4" t="n"/>
      <c r="E380" s="4" t="n"/>
      <c r="F380" s="4" t="n"/>
      <c r="G380" s="4" t="n"/>
      <c r="H380" s="4" t="n"/>
      <c r="I380" s="4" t="n"/>
    </row>
    <row r="381" ht="15.75" customHeight="1" s="85">
      <c r="A381" s="4" t="n"/>
      <c r="B381" s="4" t="n"/>
      <c r="C381" s="4" t="n"/>
      <c r="D381" s="4" t="n"/>
      <c r="E381" s="4" t="n"/>
      <c r="F381" s="4" t="n"/>
      <c r="G381" s="4" t="n"/>
      <c r="H381" s="4" t="n"/>
      <c r="I381" s="4" t="n"/>
    </row>
    <row r="382" ht="15.75" customHeight="1" s="85">
      <c r="A382" s="4" t="n"/>
      <c r="B382" s="4" t="n"/>
      <c r="C382" s="4" t="n"/>
      <c r="D382" s="4" t="n"/>
      <c r="E382" s="4" t="n"/>
      <c r="F382" s="4" t="n"/>
      <c r="G382" s="4" t="n"/>
      <c r="H382" s="4" t="n"/>
      <c r="I382" s="4" t="n"/>
    </row>
    <row r="383" ht="15.75" customHeight="1" s="85">
      <c r="A383" s="4" t="n"/>
      <c r="B383" s="4" t="n"/>
      <c r="C383" s="4" t="n"/>
      <c r="D383" s="4" t="n"/>
      <c r="E383" s="4" t="n"/>
      <c r="F383" s="4" t="n"/>
      <c r="G383" s="4" t="n"/>
      <c r="H383" s="4" t="n"/>
      <c r="I383" s="4" t="n"/>
    </row>
    <row r="384" ht="15.75" customHeight="1" s="85">
      <c r="A384" s="4" t="n"/>
      <c r="B384" s="4" t="n"/>
      <c r="C384" s="4" t="n"/>
      <c r="D384" s="4" t="n"/>
      <c r="E384" s="4" t="n"/>
      <c r="F384" s="4" t="n"/>
      <c r="G384" s="4" t="n"/>
      <c r="H384" s="4" t="n"/>
      <c r="I384" s="4" t="n"/>
    </row>
    <row r="385" ht="15.75" customHeight="1" s="85">
      <c r="A385" s="4" t="n"/>
      <c r="B385" s="4" t="n"/>
      <c r="C385" s="4" t="n"/>
      <c r="D385" s="4" t="n"/>
      <c r="E385" s="4" t="n"/>
      <c r="F385" s="4" t="n"/>
      <c r="G385" s="4" t="n"/>
      <c r="H385" s="4" t="n"/>
      <c r="I385" s="4" t="n"/>
    </row>
    <row r="386" ht="15.75" customHeight="1" s="85">
      <c r="A386" s="4" t="n"/>
      <c r="B386" s="4" t="n"/>
      <c r="C386" s="4" t="n"/>
      <c r="D386" s="4" t="n"/>
      <c r="E386" s="4" t="n"/>
      <c r="F386" s="4" t="n"/>
      <c r="G386" s="4" t="n"/>
      <c r="H386" s="4" t="n"/>
      <c r="I386" s="4" t="n"/>
    </row>
    <row r="387" ht="15.75" customHeight="1" s="85">
      <c r="A387" s="4" t="n"/>
      <c r="B387" s="4" t="n"/>
      <c r="C387" s="4" t="n"/>
      <c r="D387" s="4" t="n"/>
      <c r="E387" s="4" t="n"/>
      <c r="F387" s="4" t="n"/>
      <c r="G387" s="4" t="n"/>
      <c r="H387" s="4" t="n"/>
      <c r="I387" s="4" t="n"/>
    </row>
    <row r="388" ht="15.75" customHeight="1" s="85">
      <c r="A388" s="4" t="n"/>
      <c r="B388" s="4" t="n"/>
      <c r="C388" s="4" t="n"/>
      <c r="D388" s="4" t="n"/>
      <c r="E388" s="4" t="n"/>
      <c r="F388" s="4" t="n"/>
      <c r="G388" s="4" t="n"/>
      <c r="H388" s="4" t="n"/>
      <c r="I388" s="4" t="n"/>
    </row>
    <row r="389" ht="15.75" customHeight="1" s="85">
      <c r="A389" s="4" t="n"/>
      <c r="B389" s="4" t="n"/>
      <c r="C389" s="4" t="n"/>
      <c r="D389" s="4" t="n"/>
      <c r="E389" s="4" t="n"/>
      <c r="F389" s="4" t="n"/>
      <c r="G389" s="4" t="n"/>
      <c r="H389" s="4" t="n"/>
      <c r="I389" s="4" t="n"/>
    </row>
    <row r="390" ht="15.75" customHeight="1" s="85">
      <c r="A390" s="4" t="n"/>
      <c r="B390" s="4" t="n"/>
      <c r="C390" s="4" t="n"/>
      <c r="D390" s="4" t="n"/>
      <c r="E390" s="4" t="n"/>
      <c r="F390" s="4" t="n"/>
      <c r="G390" s="4" t="n"/>
      <c r="H390" s="4" t="n"/>
      <c r="I390" s="4" t="n"/>
    </row>
    <row r="391" ht="15.75" customHeight="1" s="85">
      <c r="A391" s="4" t="n"/>
      <c r="B391" s="4" t="n"/>
      <c r="C391" s="4" t="n"/>
      <c r="D391" s="4" t="n"/>
      <c r="E391" s="4" t="n"/>
      <c r="F391" s="4" t="n"/>
      <c r="G391" s="4" t="n"/>
      <c r="H391" s="4" t="n"/>
      <c r="I391" s="4" t="n"/>
    </row>
    <row r="392" ht="15.75" customHeight="1" s="85">
      <c r="A392" s="4" t="n"/>
      <c r="B392" s="4" t="n"/>
      <c r="C392" s="4" t="n"/>
      <c r="D392" s="4" t="n"/>
      <c r="E392" s="4" t="n"/>
      <c r="F392" s="4" t="n"/>
      <c r="G392" s="4" t="n"/>
      <c r="H392" s="4" t="n"/>
      <c r="I392" s="4" t="n"/>
    </row>
    <row r="393" ht="15.75" customHeight="1" s="85">
      <c r="A393" s="4" t="n"/>
      <c r="B393" s="4" t="n"/>
      <c r="C393" s="4" t="n"/>
      <c r="D393" s="4" t="n"/>
      <c r="E393" s="4" t="n"/>
      <c r="F393" s="4" t="n"/>
      <c r="G393" s="4" t="n"/>
      <c r="H393" s="4" t="n"/>
      <c r="I393" s="4" t="n"/>
    </row>
    <row r="394" ht="15.75" customHeight="1" s="85">
      <c r="A394" s="4" t="n"/>
      <c r="B394" s="4" t="n"/>
      <c r="C394" s="4" t="n"/>
      <c r="D394" s="4" t="n"/>
      <c r="E394" s="4" t="n"/>
      <c r="F394" s="4" t="n"/>
      <c r="G394" s="4" t="n"/>
      <c r="H394" s="4" t="n"/>
      <c r="I394" s="4" t="n"/>
    </row>
    <row r="395" ht="15.75" customHeight="1" s="85">
      <c r="A395" s="4" t="n"/>
      <c r="B395" s="4" t="n"/>
      <c r="C395" s="4" t="n"/>
      <c r="D395" s="4" t="n"/>
      <c r="E395" s="4" t="n"/>
      <c r="F395" s="4" t="n"/>
      <c r="G395" s="4" t="n"/>
      <c r="H395" s="4" t="n"/>
      <c r="I395" s="4" t="n"/>
    </row>
    <row r="396" ht="15.75" customHeight="1" s="85">
      <c r="A396" s="4" t="n"/>
      <c r="B396" s="4" t="n"/>
      <c r="C396" s="4" t="n"/>
      <c r="D396" s="4" t="n"/>
      <c r="E396" s="4" t="n"/>
      <c r="F396" s="4" t="n"/>
      <c r="G396" s="4" t="n"/>
      <c r="H396" s="4" t="n"/>
      <c r="I396" s="4" t="n"/>
    </row>
    <row r="397" ht="15.75" customHeight="1" s="85">
      <c r="A397" s="4" t="n"/>
      <c r="B397" s="4" t="n"/>
      <c r="C397" s="4" t="n"/>
      <c r="D397" s="4" t="n"/>
      <c r="E397" s="4" t="n"/>
      <c r="F397" s="4" t="n"/>
      <c r="G397" s="4" t="n"/>
      <c r="H397" s="4" t="n"/>
      <c r="I397" s="4" t="n"/>
    </row>
    <row r="398" ht="15.75" customHeight="1" s="85">
      <c r="A398" s="4" t="n"/>
      <c r="B398" s="4" t="n"/>
      <c r="C398" s="4" t="n"/>
      <c r="D398" s="4" t="n"/>
      <c r="E398" s="4" t="n"/>
      <c r="F398" s="4" t="n"/>
      <c r="G398" s="4" t="n"/>
      <c r="H398" s="4" t="n"/>
      <c r="I398" s="4" t="n"/>
    </row>
    <row r="399" ht="15.75" customHeight="1" s="85">
      <c r="A399" s="4" t="n"/>
      <c r="B399" s="4" t="n"/>
      <c r="C399" s="4" t="n"/>
      <c r="D399" s="4" t="n"/>
      <c r="E399" s="4" t="n"/>
      <c r="F399" s="4" t="n"/>
      <c r="G399" s="4" t="n"/>
      <c r="H399" s="4" t="n"/>
      <c r="I399" s="4" t="n"/>
    </row>
    <row r="400" ht="15.75" customHeight="1" s="85">
      <c r="A400" s="4" t="n"/>
      <c r="B400" s="4" t="n"/>
      <c r="C400" s="4" t="n"/>
      <c r="D400" s="4" t="n"/>
      <c r="E400" s="4" t="n"/>
      <c r="F400" s="4" t="n"/>
      <c r="G400" s="4" t="n"/>
      <c r="H400" s="4" t="n"/>
      <c r="I400" s="4" t="n"/>
    </row>
    <row r="401" ht="15.75" customHeight="1" s="85">
      <c r="A401" s="4" t="n"/>
      <c r="B401" s="4" t="n"/>
      <c r="C401" s="4" t="n"/>
      <c r="D401" s="4" t="n"/>
      <c r="E401" s="4" t="n"/>
      <c r="F401" s="4" t="n"/>
      <c r="G401" s="4" t="n"/>
      <c r="H401" s="4" t="n"/>
      <c r="I401" s="4" t="n"/>
    </row>
    <row r="402" ht="15.75" customHeight="1" s="85">
      <c r="A402" s="4" t="n"/>
      <c r="B402" s="4" t="n"/>
      <c r="C402" s="4" t="n"/>
      <c r="D402" s="4" t="n"/>
      <c r="E402" s="4" t="n"/>
      <c r="F402" s="4" t="n"/>
      <c r="G402" s="4" t="n"/>
      <c r="H402" s="4" t="n"/>
      <c r="I402" s="4" t="n"/>
    </row>
    <row r="403" ht="15.75" customHeight="1" s="85">
      <c r="A403" s="4" t="n"/>
      <c r="B403" s="4" t="n"/>
      <c r="C403" s="4" t="n"/>
      <c r="D403" s="4" t="n"/>
      <c r="E403" s="4" t="n"/>
      <c r="F403" s="4" t="n"/>
      <c r="G403" s="4" t="n"/>
      <c r="H403" s="4" t="n"/>
      <c r="I403" s="4" t="n"/>
    </row>
    <row r="404" ht="15.75" customHeight="1" s="85">
      <c r="A404" s="4" t="n"/>
      <c r="B404" s="4" t="n"/>
      <c r="C404" s="4" t="n"/>
      <c r="D404" s="4" t="n"/>
      <c r="E404" s="4" t="n"/>
      <c r="F404" s="4" t="n"/>
      <c r="G404" s="4" t="n"/>
      <c r="H404" s="4" t="n"/>
      <c r="I404" s="4" t="n"/>
    </row>
    <row r="405" ht="15.75" customHeight="1" s="85">
      <c r="A405" s="4" t="n"/>
      <c r="B405" s="4" t="n"/>
      <c r="C405" s="4" t="n"/>
      <c r="D405" s="4" t="n"/>
      <c r="E405" s="4" t="n"/>
      <c r="F405" s="4" t="n"/>
      <c r="G405" s="4" t="n"/>
      <c r="H405" s="4" t="n"/>
      <c r="I405" s="4" t="n"/>
    </row>
    <row r="406" ht="15.75" customHeight="1" s="85">
      <c r="A406" s="4" t="n"/>
      <c r="B406" s="4" t="n"/>
      <c r="C406" s="4" t="n"/>
      <c r="D406" s="4" t="n"/>
      <c r="E406" s="4" t="n"/>
      <c r="F406" s="4" t="n"/>
      <c r="G406" s="4" t="n"/>
      <c r="H406" s="4" t="n"/>
      <c r="I406" s="4" t="n"/>
    </row>
    <row r="407" ht="15.75" customHeight="1" s="85">
      <c r="A407" s="4" t="n"/>
      <c r="B407" s="4" t="n"/>
      <c r="C407" s="4" t="n"/>
      <c r="D407" s="4" t="n"/>
      <c r="E407" s="4" t="n"/>
      <c r="F407" s="4" t="n"/>
      <c r="G407" s="4" t="n"/>
      <c r="H407" s="4" t="n"/>
      <c r="I407" s="4" t="n"/>
    </row>
    <row r="408" ht="15.75" customHeight="1" s="85">
      <c r="A408" s="4" t="n"/>
      <c r="B408" s="4" t="n"/>
      <c r="C408" s="4" t="n"/>
      <c r="D408" s="4" t="n"/>
      <c r="E408" s="4" t="n"/>
      <c r="F408" s="4" t="n"/>
      <c r="G408" s="4" t="n"/>
      <c r="H408" s="4" t="n"/>
      <c r="I408" s="4" t="n"/>
    </row>
    <row r="409" ht="15.75" customHeight="1" s="85">
      <c r="A409" s="4" t="n"/>
      <c r="B409" s="4" t="n"/>
      <c r="C409" s="4" t="n"/>
      <c r="D409" s="4" t="n"/>
      <c r="E409" s="4" t="n"/>
      <c r="F409" s="4" t="n"/>
      <c r="G409" s="4" t="n"/>
      <c r="H409" s="4" t="n"/>
      <c r="I409" s="4" t="n"/>
    </row>
    <row r="410" ht="15.75" customHeight="1" s="85">
      <c r="A410" s="4" t="n"/>
      <c r="B410" s="4" t="n"/>
      <c r="C410" s="4" t="n"/>
      <c r="D410" s="4" t="n"/>
      <c r="E410" s="4" t="n"/>
      <c r="F410" s="4" t="n"/>
      <c r="G410" s="4" t="n"/>
      <c r="H410" s="4" t="n"/>
      <c r="I410" s="4" t="n"/>
    </row>
    <row r="411" ht="15.75" customHeight="1" s="85">
      <c r="A411" s="4" t="n"/>
      <c r="B411" s="4" t="n"/>
      <c r="C411" s="4" t="n"/>
      <c r="D411" s="4" t="n"/>
      <c r="E411" s="4" t="n"/>
      <c r="F411" s="4" t="n"/>
      <c r="G411" s="4" t="n"/>
      <c r="H411" s="4" t="n"/>
      <c r="I411" s="4" t="n"/>
    </row>
    <row r="412" ht="15.75" customHeight="1" s="85">
      <c r="A412" s="4" t="n"/>
      <c r="B412" s="4" t="n"/>
      <c r="C412" s="4" t="n"/>
      <c r="D412" s="4" t="n"/>
      <c r="E412" s="4" t="n"/>
      <c r="F412" s="4" t="n"/>
      <c r="G412" s="4" t="n"/>
      <c r="H412" s="4" t="n"/>
      <c r="I412" s="4" t="n"/>
    </row>
    <row r="413" ht="15.75" customHeight="1" s="85">
      <c r="A413" s="4" t="n"/>
      <c r="B413" s="4" t="n"/>
      <c r="C413" s="4" t="n"/>
      <c r="D413" s="4" t="n"/>
      <c r="E413" s="4" t="n"/>
      <c r="F413" s="4" t="n"/>
      <c r="G413" s="4" t="n"/>
      <c r="H413" s="4" t="n"/>
      <c r="I413" s="4" t="n"/>
    </row>
    <row r="414" ht="15.75" customHeight="1" s="85">
      <c r="A414" s="4" t="n"/>
      <c r="B414" s="4" t="n"/>
      <c r="C414" s="4" t="n"/>
      <c r="D414" s="4" t="n"/>
      <c r="E414" s="4" t="n"/>
      <c r="F414" s="4" t="n"/>
      <c r="G414" s="4" t="n"/>
      <c r="H414" s="4" t="n"/>
      <c r="I414" s="4" t="n"/>
    </row>
    <row r="415" ht="15.75" customHeight="1" s="85">
      <c r="A415" s="4" t="n"/>
      <c r="B415" s="4" t="n"/>
      <c r="C415" s="4" t="n"/>
      <c r="D415" s="4" t="n"/>
      <c r="E415" s="4" t="n"/>
      <c r="F415" s="4" t="n"/>
      <c r="G415" s="4" t="n"/>
      <c r="H415" s="4" t="n"/>
      <c r="I415" s="4" t="n"/>
    </row>
    <row r="416" ht="15.75" customHeight="1" s="85">
      <c r="A416" s="4" t="n"/>
      <c r="B416" s="4" t="n"/>
      <c r="C416" s="4" t="n"/>
      <c r="D416" s="4" t="n"/>
      <c r="E416" s="4" t="n"/>
      <c r="F416" s="4" t="n"/>
      <c r="G416" s="4" t="n"/>
      <c r="H416" s="4" t="n"/>
      <c r="I416" s="4" t="n"/>
    </row>
    <row r="417" ht="15.75" customHeight="1" s="85">
      <c r="A417" s="4" t="n"/>
      <c r="B417" s="4" t="n"/>
      <c r="C417" s="4" t="n"/>
      <c r="D417" s="4" t="n"/>
      <c r="E417" s="4" t="n"/>
      <c r="F417" s="4" t="n"/>
      <c r="G417" s="4" t="n"/>
      <c r="H417" s="4" t="n"/>
      <c r="I417" s="4" t="n"/>
    </row>
    <row r="418" ht="15.75" customHeight="1" s="85">
      <c r="A418" s="4" t="n"/>
      <c r="B418" s="4" t="n"/>
      <c r="C418" s="4" t="n"/>
      <c r="D418" s="4" t="n"/>
      <c r="E418" s="4" t="n"/>
      <c r="F418" s="4" t="n"/>
      <c r="G418" s="4" t="n"/>
      <c r="H418" s="4" t="n"/>
      <c r="I418" s="4" t="n"/>
    </row>
    <row r="419" ht="15.75" customHeight="1" s="85">
      <c r="A419" s="4" t="n"/>
      <c r="B419" s="4" t="n"/>
      <c r="C419" s="4" t="n"/>
      <c r="D419" s="4" t="n"/>
      <c r="E419" s="4" t="n"/>
      <c r="F419" s="4" t="n"/>
      <c r="G419" s="4" t="n"/>
      <c r="H419" s="4" t="n"/>
      <c r="I419" s="4" t="n"/>
    </row>
    <row r="420" ht="15.75" customHeight="1" s="85">
      <c r="A420" s="4" t="n"/>
      <c r="B420" s="4" t="n"/>
      <c r="C420" s="4" t="n"/>
      <c r="D420" s="4" t="n"/>
      <c r="E420" s="4" t="n"/>
      <c r="F420" s="4" t="n"/>
      <c r="G420" s="4" t="n"/>
      <c r="H420" s="4" t="n"/>
      <c r="I420" s="4" t="n"/>
    </row>
    <row r="421" ht="15.75" customHeight="1" s="85">
      <c r="A421" s="4" t="n"/>
      <c r="B421" s="4" t="n"/>
      <c r="C421" s="4" t="n"/>
      <c r="D421" s="4" t="n"/>
      <c r="E421" s="4" t="n"/>
      <c r="F421" s="4" t="n"/>
      <c r="G421" s="4" t="n"/>
      <c r="H421" s="4" t="n"/>
      <c r="I421" s="4" t="n"/>
    </row>
    <row r="422" ht="15.75" customHeight="1" s="85">
      <c r="A422" s="4" t="n"/>
      <c r="B422" s="4" t="n"/>
      <c r="C422" s="4" t="n"/>
      <c r="D422" s="4" t="n"/>
      <c r="E422" s="4" t="n"/>
      <c r="F422" s="4" t="n"/>
      <c r="G422" s="4" t="n"/>
      <c r="H422" s="4" t="n"/>
      <c r="I422" s="4" t="n"/>
    </row>
    <row r="423" ht="15.75" customHeight="1" s="85">
      <c r="A423" s="4" t="n"/>
      <c r="B423" s="4" t="n"/>
      <c r="C423" s="4" t="n"/>
      <c r="D423" s="4" t="n"/>
      <c r="E423" s="4" t="n"/>
      <c r="F423" s="4" t="n"/>
      <c r="G423" s="4" t="n"/>
      <c r="H423" s="4" t="n"/>
      <c r="I423" s="4" t="n"/>
    </row>
    <row r="424" ht="15.75" customHeight="1" s="85">
      <c r="A424" s="4" t="n"/>
      <c r="B424" s="4" t="n"/>
      <c r="C424" s="4" t="n"/>
      <c r="D424" s="4" t="n"/>
      <c r="E424" s="4" t="n"/>
      <c r="F424" s="4" t="n"/>
      <c r="G424" s="4" t="n"/>
      <c r="H424" s="4" t="n"/>
      <c r="I424" s="4" t="n"/>
    </row>
    <row r="425" ht="15.75" customHeight="1" s="85">
      <c r="A425" s="4" t="n"/>
      <c r="B425" s="4" t="n"/>
      <c r="C425" s="4" t="n"/>
      <c r="D425" s="4" t="n"/>
      <c r="E425" s="4" t="n"/>
      <c r="F425" s="4" t="n"/>
      <c r="G425" s="4" t="n"/>
      <c r="H425" s="4" t="n"/>
      <c r="I425" s="4" t="n"/>
    </row>
    <row r="426" ht="15.75" customHeight="1" s="85">
      <c r="A426" s="4" t="n"/>
      <c r="B426" s="4" t="n"/>
      <c r="C426" s="4" t="n"/>
      <c r="D426" s="4" t="n"/>
      <c r="E426" s="4" t="n"/>
      <c r="F426" s="4" t="n"/>
      <c r="G426" s="4" t="n"/>
      <c r="H426" s="4" t="n"/>
      <c r="I426" s="4" t="n"/>
    </row>
    <row r="427" ht="15.75" customHeight="1" s="85">
      <c r="A427" s="4" t="n"/>
      <c r="B427" s="4" t="n"/>
      <c r="C427" s="4" t="n"/>
      <c r="D427" s="4" t="n"/>
      <c r="E427" s="4" t="n"/>
      <c r="F427" s="4" t="n"/>
      <c r="G427" s="4" t="n"/>
      <c r="H427" s="4" t="n"/>
      <c r="I427" s="4" t="n"/>
    </row>
    <row r="428" ht="15.75" customHeight="1" s="85">
      <c r="A428" s="4" t="n"/>
      <c r="B428" s="4" t="n"/>
      <c r="C428" s="4" t="n"/>
      <c r="D428" s="4" t="n"/>
      <c r="E428" s="4" t="n"/>
      <c r="F428" s="4" t="n"/>
      <c r="G428" s="4" t="n"/>
      <c r="H428" s="4" t="n"/>
      <c r="I428" s="4" t="n"/>
    </row>
    <row r="429" ht="15.75" customHeight="1" s="85">
      <c r="A429" s="4" t="n"/>
      <c r="B429" s="4" t="n"/>
      <c r="C429" s="4" t="n"/>
      <c r="D429" s="4" t="n"/>
      <c r="E429" s="4" t="n"/>
      <c r="F429" s="4" t="n"/>
      <c r="G429" s="4" t="n"/>
      <c r="H429" s="4" t="n"/>
      <c r="I429" s="4" t="n"/>
    </row>
    <row r="430" ht="15.75" customHeight="1" s="85">
      <c r="A430" s="4" t="n"/>
      <c r="B430" s="4" t="n"/>
      <c r="C430" s="4" t="n"/>
      <c r="D430" s="4" t="n"/>
      <c r="E430" s="4" t="n"/>
      <c r="F430" s="4" t="n"/>
      <c r="G430" s="4" t="n"/>
      <c r="H430" s="4" t="n"/>
      <c r="I430" s="4" t="n"/>
    </row>
    <row r="431" ht="15.75" customHeight="1" s="85">
      <c r="A431" s="4" t="n"/>
      <c r="B431" s="4" t="n"/>
      <c r="C431" s="4" t="n"/>
      <c r="D431" s="4" t="n"/>
      <c r="E431" s="4" t="n"/>
      <c r="F431" s="4" t="n"/>
      <c r="G431" s="4" t="n"/>
      <c r="H431" s="4" t="n"/>
      <c r="I431" s="4" t="n"/>
    </row>
    <row r="432" ht="15.75" customHeight="1" s="85">
      <c r="A432" s="4" t="n"/>
      <c r="B432" s="4" t="n"/>
      <c r="C432" s="4" t="n"/>
      <c r="D432" s="4" t="n"/>
      <c r="E432" s="4" t="n"/>
      <c r="F432" s="4" t="n"/>
      <c r="G432" s="4" t="n"/>
      <c r="H432" s="4" t="n"/>
      <c r="I432" s="4" t="n"/>
    </row>
    <row r="433" ht="15.75" customHeight="1" s="85">
      <c r="A433" s="4" t="n"/>
      <c r="B433" s="4" t="n"/>
      <c r="C433" s="4" t="n"/>
      <c r="D433" s="4" t="n"/>
      <c r="E433" s="4" t="n"/>
      <c r="F433" s="4" t="n"/>
      <c r="G433" s="4" t="n"/>
      <c r="H433" s="4" t="n"/>
      <c r="I433" s="4" t="n"/>
    </row>
    <row r="434" ht="15.75" customHeight="1" s="85">
      <c r="A434" s="4" t="n"/>
      <c r="B434" s="4" t="n"/>
      <c r="C434" s="4" t="n"/>
      <c r="D434" s="4" t="n"/>
      <c r="E434" s="4" t="n"/>
      <c r="F434" s="4" t="n"/>
      <c r="G434" s="4" t="n"/>
      <c r="H434" s="4" t="n"/>
      <c r="I434" s="4" t="n"/>
    </row>
    <row r="435" ht="15.75" customHeight="1" s="85">
      <c r="A435" s="4" t="n"/>
      <c r="B435" s="4" t="n"/>
      <c r="C435" s="4" t="n"/>
      <c r="D435" s="4" t="n"/>
      <c r="E435" s="4" t="n"/>
      <c r="F435" s="4" t="n"/>
      <c r="G435" s="4" t="n"/>
      <c r="H435" s="4" t="n"/>
      <c r="I435" s="4" t="n"/>
    </row>
    <row r="436" ht="15.75" customHeight="1" s="85">
      <c r="A436" s="4" t="n"/>
      <c r="B436" s="4" t="n"/>
      <c r="C436" s="4" t="n"/>
      <c r="D436" s="4" t="n"/>
      <c r="E436" s="4" t="n"/>
      <c r="F436" s="4" t="n"/>
      <c r="G436" s="4" t="n"/>
      <c r="H436" s="4" t="n"/>
      <c r="I436" s="4" t="n"/>
    </row>
    <row r="437" ht="15.75" customHeight="1" s="85">
      <c r="A437" s="4" t="n"/>
      <c r="B437" s="4" t="n"/>
      <c r="C437" s="4" t="n"/>
      <c r="D437" s="4" t="n"/>
      <c r="E437" s="4" t="n"/>
      <c r="F437" s="4" t="n"/>
      <c r="G437" s="4" t="n"/>
      <c r="H437" s="4" t="n"/>
      <c r="I437" s="4" t="n"/>
    </row>
    <row r="438" ht="15.75" customHeight="1" s="85">
      <c r="A438" s="4" t="n"/>
      <c r="B438" s="4" t="n"/>
      <c r="C438" s="4" t="n"/>
      <c r="D438" s="4" t="n"/>
      <c r="E438" s="4" t="n"/>
      <c r="F438" s="4" t="n"/>
      <c r="G438" s="4" t="n"/>
      <c r="H438" s="4" t="n"/>
      <c r="I438" s="4" t="n"/>
    </row>
    <row r="439" ht="15.75" customHeight="1" s="85">
      <c r="A439" s="4" t="n"/>
      <c r="B439" s="4" t="n"/>
      <c r="C439" s="4" t="n"/>
      <c r="D439" s="4" t="n"/>
      <c r="E439" s="4" t="n"/>
      <c r="F439" s="4" t="n"/>
      <c r="G439" s="4" t="n"/>
      <c r="H439" s="4" t="n"/>
      <c r="I439" s="4" t="n"/>
    </row>
    <row r="440" ht="15.75" customHeight="1" s="85">
      <c r="A440" s="4" t="n"/>
      <c r="B440" s="4" t="n"/>
      <c r="C440" s="4" t="n"/>
      <c r="D440" s="4" t="n"/>
      <c r="E440" s="4" t="n"/>
      <c r="F440" s="4" t="n"/>
      <c r="G440" s="4" t="n"/>
      <c r="H440" s="4" t="n"/>
      <c r="I440" s="4" t="n"/>
    </row>
    <row r="441" ht="15.75" customHeight="1" s="85">
      <c r="A441" s="4" t="n"/>
      <c r="B441" s="4" t="n"/>
      <c r="C441" s="4" t="n"/>
      <c r="D441" s="4" t="n"/>
      <c r="E441" s="4" t="n"/>
      <c r="F441" s="4" t="n"/>
      <c r="G441" s="4" t="n"/>
      <c r="H441" s="4" t="n"/>
      <c r="I441" s="4" t="n"/>
    </row>
    <row r="442" ht="15.75" customHeight="1" s="85">
      <c r="A442" s="4" t="n"/>
      <c r="B442" s="4" t="n"/>
      <c r="C442" s="4" t="n"/>
      <c r="D442" s="4" t="n"/>
      <c r="E442" s="4" t="n"/>
      <c r="F442" s="4" t="n"/>
      <c r="G442" s="4" t="n"/>
      <c r="H442" s="4" t="n"/>
      <c r="I442" s="4" t="n"/>
    </row>
    <row r="443" ht="15.75" customHeight="1" s="85">
      <c r="A443" s="4" t="n"/>
      <c r="B443" s="4" t="n"/>
      <c r="C443" s="4" t="n"/>
      <c r="D443" s="4" t="n"/>
      <c r="E443" s="4" t="n"/>
      <c r="F443" s="4" t="n"/>
      <c r="G443" s="4" t="n"/>
      <c r="H443" s="4" t="n"/>
      <c r="I443" s="4" t="n"/>
    </row>
    <row r="444" ht="15.75" customHeight="1" s="85">
      <c r="A444" s="4" t="n"/>
      <c r="B444" s="4" t="n"/>
      <c r="C444" s="4" t="n"/>
      <c r="D444" s="4" t="n"/>
      <c r="E444" s="4" t="n"/>
      <c r="F444" s="4" t="n"/>
      <c r="G444" s="4" t="n"/>
      <c r="H444" s="4" t="n"/>
      <c r="I444" s="4" t="n"/>
    </row>
    <row r="445" ht="15.75" customHeight="1" s="85">
      <c r="A445" s="4" t="n"/>
      <c r="B445" s="4" t="n"/>
      <c r="C445" s="4" t="n"/>
      <c r="D445" s="4" t="n"/>
      <c r="E445" s="4" t="n"/>
      <c r="F445" s="4" t="n"/>
      <c r="G445" s="4" t="n"/>
      <c r="H445" s="4" t="n"/>
      <c r="I445" s="4" t="n"/>
    </row>
    <row r="446" ht="15.75" customHeight="1" s="85">
      <c r="A446" s="4" t="n"/>
      <c r="B446" s="4" t="n"/>
      <c r="C446" s="4" t="n"/>
      <c r="D446" s="4" t="n"/>
      <c r="E446" s="4" t="n"/>
      <c r="F446" s="4" t="n"/>
      <c r="G446" s="4" t="n"/>
      <c r="H446" s="4" t="n"/>
      <c r="I446" s="4" t="n"/>
    </row>
    <row r="447" ht="15.75" customHeight="1" s="85">
      <c r="A447" s="4" t="n"/>
      <c r="B447" s="4" t="n"/>
      <c r="C447" s="4" t="n"/>
      <c r="D447" s="4" t="n"/>
      <c r="E447" s="4" t="n"/>
      <c r="F447" s="4" t="n"/>
      <c r="G447" s="4" t="n"/>
      <c r="H447" s="4" t="n"/>
      <c r="I447" s="4" t="n"/>
    </row>
    <row r="448" ht="15.75" customHeight="1" s="85">
      <c r="A448" s="4" t="n"/>
      <c r="B448" s="4" t="n"/>
      <c r="C448" s="4" t="n"/>
      <c r="D448" s="4" t="n"/>
      <c r="E448" s="4" t="n"/>
      <c r="F448" s="4" t="n"/>
      <c r="G448" s="4" t="n"/>
      <c r="H448" s="4" t="n"/>
      <c r="I448" s="4" t="n"/>
    </row>
    <row r="449" ht="15.75" customHeight="1" s="85">
      <c r="A449" s="4" t="n"/>
      <c r="B449" s="4" t="n"/>
      <c r="C449" s="4" t="n"/>
      <c r="D449" s="4" t="n"/>
      <c r="E449" s="4" t="n"/>
      <c r="F449" s="4" t="n"/>
      <c r="G449" s="4" t="n"/>
      <c r="H449" s="4" t="n"/>
      <c r="I449" s="4" t="n"/>
    </row>
    <row r="450" ht="15.75" customHeight="1" s="85">
      <c r="A450" s="4" t="n"/>
      <c r="B450" s="4" t="n"/>
      <c r="C450" s="4" t="n"/>
      <c r="D450" s="4" t="n"/>
      <c r="E450" s="4" t="n"/>
      <c r="F450" s="4" t="n"/>
      <c r="G450" s="4" t="n"/>
      <c r="H450" s="4" t="n"/>
      <c r="I450" s="4" t="n"/>
    </row>
    <row r="451" ht="15.75" customHeight="1" s="85">
      <c r="A451" s="4" t="n"/>
      <c r="B451" s="4" t="n"/>
      <c r="C451" s="4" t="n"/>
      <c r="D451" s="4" t="n"/>
      <c r="E451" s="4" t="n"/>
      <c r="F451" s="4" t="n"/>
      <c r="G451" s="4" t="n"/>
      <c r="H451" s="4" t="n"/>
      <c r="I451" s="4" t="n"/>
    </row>
    <row r="452" ht="15.75" customHeight="1" s="85">
      <c r="A452" s="4" t="n"/>
      <c r="B452" s="4" t="n"/>
      <c r="C452" s="4" t="n"/>
      <c r="D452" s="4" t="n"/>
      <c r="E452" s="4" t="n"/>
      <c r="F452" s="4" t="n"/>
      <c r="G452" s="4" t="n"/>
      <c r="H452" s="4" t="n"/>
      <c r="I452" s="4" t="n"/>
    </row>
    <row r="453" ht="15.75" customHeight="1" s="85">
      <c r="A453" s="4" t="n"/>
      <c r="B453" s="4" t="n"/>
      <c r="C453" s="4" t="n"/>
      <c r="D453" s="4" t="n"/>
      <c r="E453" s="4" t="n"/>
      <c r="F453" s="4" t="n"/>
      <c r="G453" s="4" t="n"/>
      <c r="H453" s="4" t="n"/>
      <c r="I453" s="4" t="n"/>
    </row>
    <row r="454" ht="15.75" customHeight="1" s="85">
      <c r="A454" s="4" t="n"/>
      <c r="B454" s="4" t="n"/>
      <c r="C454" s="4" t="n"/>
      <c r="D454" s="4" t="n"/>
      <c r="E454" s="4" t="n"/>
      <c r="F454" s="4" t="n"/>
      <c r="G454" s="4" t="n"/>
      <c r="H454" s="4" t="n"/>
      <c r="I454" s="4" t="n"/>
    </row>
    <row r="455" ht="15.75" customHeight="1" s="85">
      <c r="A455" s="4" t="n"/>
      <c r="B455" s="4" t="n"/>
      <c r="C455" s="4" t="n"/>
      <c r="D455" s="4" t="n"/>
      <c r="E455" s="4" t="n"/>
      <c r="F455" s="4" t="n"/>
      <c r="G455" s="4" t="n"/>
      <c r="H455" s="4" t="n"/>
      <c r="I455" s="4" t="n"/>
    </row>
    <row r="456" ht="15.75" customHeight="1" s="85">
      <c r="A456" s="4" t="n"/>
      <c r="B456" s="4" t="n"/>
      <c r="C456" s="4" t="n"/>
      <c r="D456" s="4" t="n"/>
      <c r="E456" s="4" t="n"/>
      <c r="F456" s="4" t="n"/>
      <c r="G456" s="4" t="n"/>
      <c r="H456" s="4" t="n"/>
      <c r="I456" s="4" t="n"/>
    </row>
    <row r="457" ht="15.75" customHeight="1" s="85">
      <c r="A457" s="4" t="n"/>
      <c r="B457" s="4" t="n"/>
      <c r="C457" s="4" t="n"/>
      <c r="D457" s="4" t="n"/>
      <c r="E457" s="4" t="n"/>
      <c r="F457" s="4" t="n"/>
      <c r="G457" s="4" t="n"/>
      <c r="H457" s="4" t="n"/>
      <c r="I457" s="4" t="n"/>
    </row>
    <row r="458" ht="15.75" customHeight="1" s="85">
      <c r="A458" s="4" t="n"/>
      <c r="B458" s="4" t="n"/>
      <c r="C458" s="4" t="n"/>
      <c r="D458" s="4" t="n"/>
      <c r="E458" s="4" t="n"/>
      <c r="F458" s="4" t="n"/>
      <c r="G458" s="4" t="n"/>
      <c r="H458" s="4" t="n"/>
      <c r="I458" s="4" t="n"/>
    </row>
    <row r="459" ht="15.75" customHeight="1" s="85">
      <c r="A459" s="4" t="n"/>
      <c r="B459" s="4" t="n"/>
      <c r="C459" s="4" t="n"/>
      <c r="D459" s="4" t="n"/>
      <c r="E459" s="4" t="n"/>
      <c r="F459" s="4" t="n"/>
      <c r="G459" s="4" t="n"/>
      <c r="H459" s="4" t="n"/>
      <c r="I459" s="4" t="n"/>
    </row>
    <row r="460" ht="15.75" customHeight="1" s="85">
      <c r="A460" s="4" t="n"/>
      <c r="B460" s="4" t="n"/>
      <c r="C460" s="4" t="n"/>
      <c r="D460" s="4" t="n"/>
      <c r="E460" s="4" t="n"/>
      <c r="F460" s="4" t="n"/>
      <c r="G460" s="4" t="n"/>
      <c r="H460" s="4" t="n"/>
      <c r="I460" s="4" t="n"/>
    </row>
    <row r="461" ht="15.75" customHeight="1" s="85">
      <c r="A461" s="4" t="n"/>
      <c r="B461" s="4" t="n"/>
      <c r="C461" s="4" t="n"/>
      <c r="D461" s="4" t="n"/>
      <c r="E461" s="4" t="n"/>
      <c r="F461" s="4" t="n"/>
      <c r="G461" s="4" t="n"/>
      <c r="H461" s="4" t="n"/>
      <c r="I461" s="4" t="n"/>
    </row>
    <row r="462" ht="15.75" customHeight="1" s="85">
      <c r="A462" s="4" t="n"/>
      <c r="B462" s="4" t="n"/>
      <c r="C462" s="4" t="n"/>
      <c r="D462" s="4" t="n"/>
      <c r="E462" s="4" t="n"/>
      <c r="F462" s="4" t="n"/>
      <c r="G462" s="4" t="n"/>
      <c r="H462" s="4" t="n"/>
      <c r="I462" s="4" t="n"/>
    </row>
    <row r="463" ht="15.75" customHeight="1" s="85">
      <c r="A463" s="4" t="n"/>
      <c r="B463" s="4" t="n"/>
      <c r="C463" s="4" t="n"/>
      <c r="D463" s="4" t="n"/>
      <c r="E463" s="4" t="n"/>
      <c r="F463" s="4" t="n"/>
      <c r="G463" s="4" t="n"/>
      <c r="H463" s="4" t="n"/>
      <c r="I463" s="4" t="n"/>
    </row>
    <row r="464" ht="15.75" customHeight="1" s="85">
      <c r="A464" s="4" t="n"/>
      <c r="B464" s="4" t="n"/>
      <c r="C464" s="4" t="n"/>
      <c r="D464" s="4" t="n"/>
      <c r="E464" s="4" t="n"/>
      <c r="F464" s="4" t="n"/>
      <c r="G464" s="4" t="n"/>
      <c r="H464" s="4" t="n"/>
      <c r="I464" s="4" t="n"/>
    </row>
    <row r="465" ht="15.75" customHeight="1" s="85">
      <c r="A465" s="4" t="n"/>
      <c r="B465" s="4" t="n"/>
      <c r="C465" s="4" t="n"/>
      <c r="D465" s="4" t="n"/>
      <c r="E465" s="4" t="n"/>
      <c r="F465" s="4" t="n"/>
      <c r="G465" s="4" t="n"/>
      <c r="H465" s="4" t="n"/>
      <c r="I465" s="4" t="n"/>
    </row>
    <row r="466" ht="15.75" customHeight="1" s="85">
      <c r="A466" s="4" t="n"/>
      <c r="B466" s="4" t="n"/>
      <c r="C466" s="4" t="n"/>
      <c r="D466" s="4" t="n"/>
      <c r="E466" s="4" t="n"/>
      <c r="F466" s="4" t="n"/>
      <c r="G466" s="4" t="n"/>
      <c r="H466" s="4" t="n"/>
      <c r="I466" s="4" t="n"/>
    </row>
    <row r="467" ht="15.75" customHeight="1" s="85">
      <c r="A467" s="4" t="n"/>
      <c r="B467" s="4" t="n"/>
      <c r="C467" s="4" t="n"/>
      <c r="D467" s="4" t="n"/>
      <c r="E467" s="4" t="n"/>
      <c r="F467" s="4" t="n"/>
      <c r="G467" s="4" t="n"/>
      <c r="H467" s="4" t="n"/>
      <c r="I467" s="4" t="n"/>
    </row>
    <row r="468" ht="15.75" customHeight="1" s="85">
      <c r="A468" s="4" t="n"/>
      <c r="B468" s="4" t="n"/>
      <c r="C468" s="4" t="n"/>
      <c r="D468" s="4" t="n"/>
      <c r="E468" s="4" t="n"/>
      <c r="F468" s="4" t="n"/>
      <c r="G468" s="4" t="n"/>
      <c r="H468" s="4" t="n"/>
      <c r="I468" s="4" t="n"/>
    </row>
    <row r="469" ht="15.75" customHeight="1" s="85">
      <c r="A469" s="4" t="n"/>
      <c r="B469" s="4" t="n"/>
      <c r="C469" s="4" t="n"/>
      <c r="D469" s="4" t="n"/>
      <c r="E469" s="4" t="n"/>
      <c r="F469" s="4" t="n"/>
      <c r="G469" s="4" t="n"/>
      <c r="H469" s="4" t="n"/>
      <c r="I469" s="4" t="n"/>
    </row>
    <row r="470" ht="15.75" customHeight="1" s="85">
      <c r="A470" s="4" t="n"/>
      <c r="B470" s="4" t="n"/>
      <c r="C470" s="4" t="n"/>
      <c r="D470" s="4" t="n"/>
      <c r="E470" s="4" t="n"/>
      <c r="F470" s="4" t="n"/>
      <c r="G470" s="4" t="n"/>
      <c r="H470" s="4" t="n"/>
      <c r="I470" s="4" t="n"/>
    </row>
    <row r="471" ht="15.75" customHeight="1" s="85">
      <c r="A471" s="4" t="n"/>
      <c r="B471" s="4" t="n"/>
      <c r="C471" s="4" t="n"/>
      <c r="D471" s="4" t="n"/>
      <c r="E471" s="4" t="n"/>
      <c r="F471" s="4" t="n"/>
      <c r="G471" s="4" t="n"/>
      <c r="H471" s="4" t="n"/>
      <c r="I471" s="4" t="n"/>
    </row>
    <row r="472" ht="15.75" customHeight="1" s="85">
      <c r="A472" s="4" t="n"/>
      <c r="B472" s="4" t="n"/>
      <c r="C472" s="4" t="n"/>
      <c r="D472" s="4" t="n"/>
      <c r="E472" s="4" t="n"/>
      <c r="F472" s="4" t="n"/>
      <c r="G472" s="4" t="n"/>
      <c r="H472" s="4" t="n"/>
      <c r="I472" s="4" t="n"/>
    </row>
    <row r="473" ht="15.75" customHeight="1" s="85">
      <c r="A473" s="4" t="n"/>
      <c r="B473" s="4" t="n"/>
      <c r="C473" s="4" t="n"/>
      <c r="D473" s="4" t="n"/>
      <c r="E473" s="4" t="n"/>
      <c r="F473" s="4" t="n"/>
      <c r="G473" s="4" t="n"/>
      <c r="H473" s="4" t="n"/>
      <c r="I473" s="4" t="n"/>
    </row>
    <row r="474" ht="15.75" customHeight="1" s="85">
      <c r="A474" s="4" t="n"/>
      <c r="B474" s="4" t="n"/>
      <c r="C474" s="4" t="n"/>
      <c r="D474" s="4" t="n"/>
      <c r="E474" s="4" t="n"/>
      <c r="F474" s="4" t="n"/>
      <c r="G474" s="4" t="n"/>
      <c r="H474" s="4" t="n"/>
      <c r="I474" s="4" t="n"/>
    </row>
    <row r="475" ht="15.75" customHeight="1" s="85">
      <c r="A475" s="4" t="n"/>
      <c r="B475" s="4" t="n"/>
      <c r="C475" s="4" t="n"/>
      <c r="D475" s="4" t="n"/>
      <c r="E475" s="4" t="n"/>
      <c r="F475" s="4" t="n"/>
      <c r="G475" s="4" t="n"/>
      <c r="H475" s="4" t="n"/>
      <c r="I475" s="4" t="n"/>
    </row>
    <row r="476" ht="15.75" customHeight="1" s="85">
      <c r="A476" s="4" t="n"/>
      <c r="B476" s="4" t="n"/>
      <c r="C476" s="4" t="n"/>
      <c r="D476" s="4" t="n"/>
      <c r="E476" s="4" t="n"/>
      <c r="F476" s="4" t="n"/>
      <c r="G476" s="4" t="n"/>
      <c r="H476" s="4" t="n"/>
      <c r="I476" s="4" t="n"/>
    </row>
    <row r="477" ht="15.75" customHeight="1" s="85">
      <c r="A477" s="4" t="n"/>
      <c r="B477" s="4" t="n"/>
      <c r="C477" s="4" t="n"/>
      <c r="D477" s="4" t="n"/>
      <c r="E477" s="4" t="n"/>
      <c r="F477" s="4" t="n"/>
      <c r="G477" s="4" t="n"/>
      <c r="H477" s="4" t="n"/>
      <c r="I477" s="4" t="n"/>
    </row>
    <row r="478" ht="15.75" customHeight="1" s="85">
      <c r="A478" s="4" t="n"/>
      <c r="B478" s="4" t="n"/>
      <c r="C478" s="4" t="n"/>
      <c r="D478" s="4" t="n"/>
      <c r="E478" s="4" t="n"/>
      <c r="F478" s="4" t="n"/>
      <c r="G478" s="4" t="n"/>
      <c r="H478" s="4" t="n"/>
      <c r="I478" s="4" t="n"/>
    </row>
    <row r="479" ht="15.75" customHeight="1" s="85">
      <c r="A479" s="4" t="n"/>
      <c r="B479" s="4" t="n"/>
      <c r="C479" s="4" t="n"/>
      <c r="D479" s="4" t="n"/>
      <c r="E479" s="4" t="n"/>
      <c r="F479" s="4" t="n"/>
      <c r="G479" s="4" t="n"/>
      <c r="H479" s="4" t="n"/>
      <c r="I479" s="4" t="n"/>
    </row>
    <row r="480" ht="15.75" customHeight="1" s="85">
      <c r="A480" s="4" t="n"/>
      <c r="B480" s="4" t="n"/>
      <c r="C480" s="4" t="n"/>
      <c r="D480" s="4" t="n"/>
      <c r="E480" s="4" t="n"/>
      <c r="F480" s="4" t="n"/>
      <c r="G480" s="4" t="n"/>
      <c r="H480" s="4" t="n"/>
      <c r="I480" s="4" t="n"/>
    </row>
    <row r="481" ht="15.75" customHeight="1" s="85">
      <c r="A481" s="4" t="n"/>
      <c r="B481" s="4" t="n"/>
      <c r="C481" s="4" t="n"/>
      <c r="D481" s="4" t="n"/>
      <c r="E481" s="4" t="n"/>
      <c r="F481" s="4" t="n"/>
      <c r="G481" s="4" t="n"/>
      <c r="H481" s="4" t="n"/>
      <c r="I481" s="4" t="n"/>
    </row>
    <row r="482" ht="15.75" customHeight="1" s="85">
      <c r="A482" s="4" t="n"/>
      <c r="B482" s="4" t="n"/>
      <c r="C482" s="4" t="n"/>
      <c r="D482" s="4" t="n"/>
      <c r="E482" s="4" t="n"/>
      <c r="F482" s="4" t="n"/>
      <c r="G482" s="4" t="n"/>
      <c r="H482" s="4" t="n"/>
      <c r="I482" s="4" t="n"/>
    </row>
    <row r="483" ht="15.75" customHeight="1" s="85">
      <c r="A483" s="4" t="n"/>
      <c r="B483" s="4" t="n"/>
      <c r="C483" s="4" t="n"/>
      <c r="D483" s="4" t="n"/>
      <c r="E483" s="4" t="n"/>
      <c r="F483" s="4" t="n"/>
      <c r="G483" s="4" t="n"/>
      <c r="H483" s="4" t="n"/>
      <c r="I483" s="4" t="n"/>
    </row>
    <row r="484" ht="15.75" customHeight="1" s="85">
      <c r="A484" s="4" t="n"/>
      <c r="B484" s="4" t="n"/>
      <c r="C484" s="4" t="n"/>
      <c r="D484" s="4" t="n"/>
      <c r="E484" s="4" t="n"/>
      <c r="F484" s="4" t="n"/>
      <c r="G484" s="4" t="n"/>
      <c r="H484" s="4" t="n"/>
      <c r="I484" s="4" t="n"/>
    </row>
    <row r="485" ht="15.75" customHeight="1" s="85">
      <c r="A485" s="4" t="n"/>
      <c r="B485" s="4" t="n"/>
      <c r="C485" s="4" t="n"/>
      <c r="D485" s="4" t="n"/>
      <c r="E485" s="4" t="n"/>
      <c r="F485" s="4" t="n"/>
      <c r="G485" s="4" t="n"/>
      <c r="H485" s="4" t="n"/>
      <c r="I485" s="4" t="n"/>
    </row>
    <row r="486" ht="15.75" customHeight="1" s="85">
      <c r="A486" s="4" t="n"/>
      <c r="B486" s="4" t="n"/>
      <c r="C486" s="4" t="n"/>
      <c r="D486" s="4" t="n"/>
      <c r="E486" s="4" t="n"/>
      <c r="F486" s="4" t="n"/>
      <c r="G486" s="4" t="n"/>
      <c r="H486" s="4" t="n"/>
      <c r="I486" s="4" t="n"/>
    </row>
    <row r="487" ht="15.75" customHeight="1" s="85">
      <c r="A487" s="4" t="n"/>
      <c r="B487" s="4" t="n"/>
      <c r="C487" s="4" t="n"/>
      <c r="D487" s="4" t="n"/>
      <c r="E487" s="4" t="n"/>
      <c r="F487" s="4" t="n"/>
      <c r="G487" s="4" t="n"/>
      <c r="H487" s="4" t="n"/>
      <c r="I487" s="4" t="n"/>
    </row>
    <row r="488" ht="15.75" customHeight="1" s="85">
      <c r="A488" s="4" t="n"/>
      <c r="B488" s="4" t="n"/>
      <c r="C488" s="4" t="n"/>
      <c r="D488" s="4" t="n"/>
      <c r="E488" s="4" t="n"/>
      <c r="F488" s="4" t="n"/>
      <c r="G488" s="4" t="n"/>
      <c r="H488" s="4" t="n"/>
      <c r="I488" s="4" t="n"/>
    </row>
    <row r="489" ht="15.75" customHeight="1" s="85">
      <c r="A489" s="4" t="n"/>
      <c r="B489" s="4" t="n"/>
      <c r="C489" s="4" t="n"/>
      <c r="D489" s="4" t="n"/>
      <c r="E489" s="4" t="n"/>
      <c r="F489" s="4" t="n"/>
      <c r="G489" s="4" t="n"/>
      <c r="H489" s="4" t="n"/>
      <c r="I489" s="4" t="n"/>
    </row>
    <row r="490" ht="15.75" customHeight="1" s="85">
      <c r="A490" s="4" t="n"/>
      <c r="B490" s="4" t="n"/>
      <c r="C490" s="4" t="n"/>
      <c r="D490" s="4" t="n"/>
      <c r="E490" s="4" t="n"/>
      <c r="F490" s="4" t="n"/>
      <c r="G490" s="4" t="n"/>
      <c r="H490" s="4" t="n"/>
      <c r="I490" s="4" t="n"/>
    </row>
    <row r="491" ht="15.75" customHeight="1" s="85">
      <c r="A491" s="4" t="n"/>
      <c r="B491" s="4" t="n"/>
      <c r="C491" s="4" t="n"/>
      <c r="D491" s="4" t="n"/>
      <c r="E491" s="4" t="n"/>
      <c r="F491" s="4" t="n"/>
      <c r="G491" s="4" t="n"/>
      <c r="H491" s="4" t="n"/>
      <c r="I491" s="4" t="n"/>
    </row>
    <row r="492" ht="15.75" customHeight="1" s="85">
      <c r="A492" s="4" t="n"/>
      <c r="B492" s="4" t="n"/>
      <c r="C492" s="4" t="n"/>
      <c r="D492" s="4" t="n"/>
      <c r="E492" s="4" t="n"/>
      <c r="F492" s="4" t="n"/>
      <c r="G492" s="4" t="n"/>
      <c r="H492" s="4" t="n"/>
      <c r="I492" s="4" t="n"/>
    </row>
    <row r="493" ht="15.75" customHeight="1" s="85">
      <c r="A493" s="4" t="n"/>
      <c r="B493" s="4" t="n"/>
      <c r="C493" s="4" t="n"/>
      <c r="D493" s="4" t="n"/>
      <c r="E493" s="4" t="n"/>
      <c r="F493" s="4" t="n"/>
      <c r="G493" s="4" t="n"/>
      <c r="H493" s="4" t="n"/>
      <c r="I493" s="4" t="n"/>
    </row>
    <row r="494" ht="15.75" customHeight="1" s="85">
      <c r="A494" s="4" t="n"/>
      <c r="B494" s="4" t="n"/>
      <c r="C494" s="4" t="n"/>
      <c r="D494" s="4" t="n"/>
      <c r="E494" s="4" t="n"/>
      <c r="F494" s="4" t="n"/>
      <c r="G494" s="4" t="n"/>
      <c r="H494" s="4" t="n"/>
      <c r="I494" s="4" t="n"/>
    </row>
    <row r="495" ht="15.75" customHeight="1" s="85">
      <c r="A495" s="4" t="n"/>
      <c r="B495" s="4" t="n"/>
      <c r="C495" s="4" t="n"/>
      <c r="D495" s="4" t="n"/>
      <c r="E495" s="4" t="n"/>
      <c r="F495" s="4" t="n"/>
      <c r="G495" s="4" t="n"/>
      <c r="H495" s="4" t="n"/>
      <c r="I495" s="4" t="n"/>
    </row>
    <row r="496" ht="15.75" customHeight="1" s="85">
      <c r="A496" s="4" t="n"/>
      <c r="B496" s="4" t="n"/>
      <c r="C496" s="4" t="n"/>
      <c r="D496" s="4" t="n"/>
      <c r="E496" s="4" t="n"/>
      <c r="F496" s="4" t="n"/>
      <c r="G496" s="4" t="n"/>
      <c r="H496" s="4" t="n"/>
      <c r="I496" s="4" t="n"/>
    </row>
    <row r="497" ht="15.75" customHeight="1" s="85">
      <c r="A497" s="4" t="n"/>
      <c r="B497" s="4" t="n"/>
      <c r="C497" s="4" t="n"/>
      <c r="D497" s="4" t="n"/>
      <c r="E497" s="4" t="n"/>
      <c r="F497" s="4" t="n"/>
      <c r="G497" s="4" t="n"/>
      <c r="H497" s="4" t="n"/>
      <c r="I497" s="4" t="n"/>
    </row>
    <row r="498" ht="15.75" customHeight="1" s="85">
      <c r="A498" s="4" t="n"/>
      <c r="B498" s="4" t="n"/>
      <c r="C498" s="4" t="n"/>
      <c r="D498" s="4" t="n"/>
      <c r="E498" s="4" t="n"/>
      <c r="F498" s="4" t="n"/>
      <c r="G498" s="4" t="n"/>
      <c r="H498" s="4" t="n"/>
      <c r="I498" s="4" t="n"/>
    </row>
    <row r="499" ht="15.75" customHeight="1" s="85">
      <c r="A499" s="4" t="n"/>
      <c r="B499" s="4" t="n"/>
      <c r="C499" s="4" t="n"/>
      <c r="D499" s="4" t="n"/>
      <c r="E499" s="4" t="n"/>
      <c r="F499" s="4" t="n"/>
      <c r="G499" s="4" t="n"/>
      <c r="H499" s="4" t="n"/>
      <c r="I499" s="4" t="n"/>
    </row>
    <row r="500" ht="15.75" customHeight="1" s="85">
      <c r="A500" s="4" t="n"/>
      <c r="B500" s="4" t="n"/>
      <c r="C500" s="4" t="n"/>
      <c r="D500" s="4" t="n"/>
      <c r="E500" s="4" t="n"/>
      <c r="F500" s="4" t="n"/>
      <c r="G500" s="4" t="n"/>
      <c r="H500" s="4" t="n"/>
      <c r="I500" s="4" t="n"/>
    </row>
    <row r="501" ht="15.75" customHeight="1" s="85">
      <c r="A501" s="4" t="n"/>
      <c r="B501" s="4" t="n"/>
      <c r="C501" s="4" t="n"/>
      <c r="D501" s="4" t="n"/>
      <c r="E501" s="4" t="n"/>
      <c r="F501" s="4" t="n"/>
      <c r="G501" s="4" t="n"/>
      <c r="H501" s="4" t="n"/>
      <c r="I501" s="4" t="n"/>
    </row>
    <row r="502" ht="15.75" customHeight="1" s="85">
      <c r="A502" s="4" t="n"/>
      <c r="B502" s="4" t="n"/>
      <c r="C502" s="4" t="n"/>
      <c r="D502" s="4" t="n"/>
      <c r="E502" s="4" t="n"/>
      <c r="F502" s="4" t="n"/>
      <c r="G502" s="4" t="n"/>
      <c r="H502" s="4" t="n"/>
      <c r="I502" s="4" t="n"/>
    </row>
    <row r="503" ht="15.75" customHeight="1" s="85">
      <c r="A503" s="4" t="n"/>
      <c r="B503" s="4" t="n"/>
      <c r="C503" s="4" t="n"/>
      <c r="D503" s="4" t="n"/>
      <c r="E503" s="4" t="n"/>
      <c r="F503" s="4" t="n"/>
      <c r="G503" s="4" t="n"/>
      <c r="H503" s="4" t="n"/>
      <c r="I503" s="4" t="n"/>
    </row>
    <row r="504" ht="15.75" customHeight="1" s="85">
      <c r="A504" s="4" t="n"/>
      <c r="B504" s="4" t="n"/>
      <c r="C504" s="4" t="n"/>
      <c r="D504" s="4" t="n"/>
      <c r="E504" s="4" t="n"/>
      <c r="F504" s="4" t="n"/>
      <c r="G504" s="4" t="n"/>
      <c r="H504" s="4" t="n"/>
      <c r="I504" s="4" t="n"/>
    </row>
    <row r="505" ht="15.75" customHeight="1" s="85">
      <c r="A505" s="4" t="n"/>
      <c r="B505" s="4" t="n"/>
      <c r="C505" s="4" t="n"/>
      <c r="D505" s="4" t="n"/>
      <c r="E505" s="4" t="n"/>
      <c r="F505" s="4" t="n"/>
      <c r="G505" s="4" t="n"/>
      <c r="H505" s="4" t="n"/>
      <c r="I505" s="4" t="n"/>
    </row>
    <row r="506" ht="15.75" customHeight="1" s="85">
      <c r="A506" s="4" t="n"/>
      <c r="B506" s="4" t="n"/>
      <c r="C506" s="4" t="n"/>
      <c r="D506" s="4" t="n"/>
      <c r="E506" s="4" t="n"/>
      <c r="F506" s="4" t="n"/>
      <c r="G506" s="4" t="n"/>
      <c r="H506" s="4" t="n"/>
      <c r="I506" s="4" t="n"/>
    </row>
    <row r="507" ht="15.75" customHeight="1" s="85">
      <c r="A507" s="4" t="n"/>
      <c r="B507" s="4" t="n"/>
      <c r="C507" s="4" t="n"/>
      <c r="D507" s="4" t="n"/>
      <c r="E507" s="4" t="n"/>
      <c r="F507" s="4" t="n"/>
      <c r="G507" s="4" t="n"/>
      <c r="H507" s="4" t="n"/>
      <c r="I507" s="4" t="n"/>
    </row>
    <row r="508" ht="15.75" customHeight="1" s="85">
      <c r="A508" s="4" t="n"/>
      <c r="B508" s="4" t="n"/>
      <c r="C508" s="4" t="n"/>
      <c r="D508" s="4" t="n"/>
      <c r="E508" s="4" t="n"/>
      <c r="F508" s="4" t="n"/>
      <c r="G508" s="4" t="n"/>
      <c r="H508" s="4" t="n"/>
      <c r="I508" s="4" t="n"/>
    </row>
    <row r="509" ht="15.75" customHeight="1" s="85">
      <c r="A509" s="4" t="n"/>
      <c r="B509" s="4" t="n"/>
      <c r="C509" s="4" t="n"/>
      <c r="D509" s="4" t="n"/>
      <c r="E509" s="4" t="n"/>
      <c r="F509" s="4" t="n"/>
      <c r="G509" s="4" t="n"/>
      <c r="H509" s="4" t="n"/>
      <c r="I509" s="4" t="n"/>
    </row>
    <row r="510" ht="15.75" customHeight="1" s="85">
      <c r="A510" s="4" t="n"/>
      <c r="B510" s="4" t="n"/>
      <c r="C510" s="4" t="n"/>
      <c r="D510" s="4" t="n"/>
      <c r="E510" s="4" t="n"/>
      <c r="F510" s="4" t="n"/>
      <c r="G510" s="4" t="n"/>
      <c r="H510" s="4" t="n"/>
      <c r="I510" s="4" t="n"/>
    </row>
    <row r="511" ht="15.75" customHeight="1" s="85">
      <c r="A511" s="4" t="n"/>
      <c r="B511" s="4" t="n"/>
      <c r="C511" s="4" t="n"/>
      <c r="D511" s="4" t="n"/>
      <c r="E511" s="4" t="n"/>
      <c r="F511" s="4" t="n"/>
      <c r="G511" s="4" t="n"/>
      <c r="H511" s="4" t="n"/>
      <c r="I511" s="4" t="n"/>
    </row>
    <row r="512" ht="15.75" customHeight="1" s="85">
      <c r="A512" s="4" t="n"/>
      <c r="B512" s="4" t="n"/>
      <c r="C512" s="4" t="n"/>
      <c r="D512" s="4" t="n"/>
      <c r="E512" s="4" t="n"/>
      <c r="F512" s="4" t="n"/>
      <c r="G512" s="4" t="n"/>
      <c r="H512" s="4" t="n"/>
      <c r="I512" s="4" t="n"/>
    </row>
    <row r="513" ht="15.75" customHeight="1" s="85">
      <c r="A513" s="4" t="n"/>
      <c r="B513" s="4" t="n"/>
      <c r="C513" s="4" t="n"/>
      <c r="D513" s="4" t="n"/>
      <c r="E513" s="4" t="n"/>
      <c r="F513" s="4" t="n"/>
      <c r="G513" s="4" t="n"/>
      <c r="H513" s="4" t="n"/>
      <c r="I513" s="4" t="n"/>
    </row>
    <row r="514" ht="15.75" customHeight="1" s="85">
      <c r="A514" s="4" t="n"/>
      <c r="B514" s="4" t="n"/>
      <c r="C514" s="4" t="n"/>
      <c r="D514" s="4" t="n"/>
      <c r="E514" s="4" t="n"/>
      <c r="F514" s="4" t="n"/>
      <c r="G514" s="4" t="n"/>
      <c r="H514" s="4" t="n"/>
      <c r="I514" s="4" t="n"/>
    </row>
    <row r="515" ht="15.75" customHeight="1" s="85">
      <c r="A515" s="4" t="n"/>
      <c r="B515" s="4" t="n"/>
      <c r="C515" s="4" t="n"/>
      <c r="D515" s="4" t="n"/>
      <c r="E515" s="4" t="n"/>
      <c r="F515" s="4" t="n"/>
      <c r="G515" s="4" t="n"/>
      <c r="H515" s="4" t="n"/>
      <c r="I515" s="4" t="n"/>
    </row>
    <row r="516" ht="15.75" customHeight="1" s="85">
      <c r="A516" s="4" t="n"/>
      <c r="B516" s="4" t="n"/>
      <c r="C516" s="4" t="n"/>
      <c r="D516" s="4" t="n"/>
      <c r="E516" s="4" t="n"/>
      <c r="F516" s="4" t="n"/>
      <c r="G516" s="4" t="n"/>
      <c r="H516" s="4" t="n"/>
      <c r="I516" s="4" t="n"/>
    </row>
    <row r="517" ht="15.75" customHeight="1" s="85">
      <c r="A517" s="4" t="n"/>
      <c r="B517" s="4" t="n"/>
      <c r="C517" s="4" t="n"/>
      <c r="D517" s="4" t="n"/>
      <c r="E517" s="4" t="n"/>
      <c r="F517" s="4" t="n"/>
      <c r="G517" s="4" t="n"/>
      <c r="H517" s="4" t="n"/>
      <c r="I517" s="4" t="n"/>
    </row>
    <row r="518" ht="15.75" customHeight="1" s="85">
      <c r="A518" s="4" t="n"/>
      <c r="B518" s="4" t="n"/>
      <c r="C518" s="4" t="n"/>
      <c r="D518" s="4" t="n"/>
      <c r="E518" s="4" t="n"/>
      <c r="F518" s="4" t="n"/>
      <c r="G518" s="4" t="n"/>
      <c r="H518" s="4" t="n"/>
      <c r="I518" s="4" t="n"/>
    </row>
    <row r="519" ht="15.75" customHeight="1" s="85">
      <c r="A519" s="4" t="n"/>
      <c r="B519" s="4" t="n"/>
      <c r="C519" s="4" t="n"/>
      <c r="D519" s="4" t="n"/>
      <c r="E519" s="4" t="n"/>
      <c r="F519" s="4" t="n"/>
      <c r="G519" s="4" t="n"/>
      <c r="H519" s="4" t="n"/>
      <c r="I519" s="4" t="n"/>
    </row>
    <row r="520" ht="15.75" customHeight="1" s="85">
      <c r="A520" s="4" t="n"/>
      <c r="B520" s="4" t="n"/>
      <c r="C520" s="4" t="n"/>
      <c r="D520" s="4" t="n"/>
      <c r="E520" s="4" t="n"/>
      <c r="F520" s="4" t="n"/>
      <c r="G520" s="4" t="n"/>
      <c r="H520" s="4" t="n"/>
      <c r="I520" s="4" t="n"/>
    </row>
    <row r="521" ht="15.75" customHeight="1" s="85">
      <c r="A521" s="4" t="n"/>
      <c r="B521" s="4" t="n"/>
      <c r="C521" s="4" t="n"/>
      <c r="D521" s="4" t="n"/>
      <c r="E521" s="4" t="n"/>
      <c r="F521" s="4" t="n"/>
      <c r="G521" s="4" t="n"/>
      <c r="H521" s="4" t="n"/>
      <c r="I521" s="4" t="n"/>
    </row>
    <row r="522" ht="15.75" customHeight="1" s="85">
      <c r="A522" s="4" t="n"/>
      <c r="B522" s="4" t="n"/>
      <c r="C522" s="4" t="n"/>
      <c r="D522" s="4" t="n"/>
      <c r="E522" s="4" t="n"/>
      <c r="F522" s="4" t="n"/>
      <c r="G522" s="4" t="n"/>
      <c r="H522" s="4" t="n"/>
      <c r="I522" s="4" t="n"/>
    </row>
    <row r="523" ht="15.75" customHeight="1" s="85">
      <c r="A523" s="4" t="n"/>
      <c r="B523" s="4" t="n"/>
      <c r="C523" s="4" t="n"/>
      <c r="D523" s="4" t="n"/>
      <c r="E523" s="4" t="n"/>
      <c r="F523" s="4" t="n"/>
      <c r="G523" s="4" t="n"/>
      <c r="H523" s="4" t="n"/>
      <c r="I523" s="4" t="n"/>
    </row>
    <row r="524" ht="15.75" customHeight="1" s="85">
      <c r="A524" s="4" t="n"/>
      <c r="B524" s="4" t="n"/>
      <c r="C524" s="4" t="n"/>
      <c r="D524" s="4" t="n"/>
      <c r="E524" s="4" t="n"/>
      <c r="F524" s="4" t="n"/>
      <c r="G524" s="4" t="n"/>
      <c r="H524" s="4" t="n"/>
      <c r="I524" s="4" t="n"/>
    </row>
    <row r="525" ht="15.75" customHeight="1" s="85">
      <c r="A525" s="4" t="n"/>
      <c r="B525" s="4" t="n"/>
      <c r="C525" s="4" t="n"/>
      <c r="D525" s="4" t="n"/>
      <c r="E525" s="4" t="n"/>
      <c r="F525" s="4" t="n"/>
      <c r="G525" s="4" t="n"/>
      <c r="H525" s="4" t="n"/>
      <c r="I525" s="4" t="n"/>
    </row>
    <row r="526" ht="15.75" customHeight="1" s="85">
      <c r="A526" s="4" t="n"/>
      <c r="B526" s="4" t="n"/>
      <c r="C526" s="4" t="n"/>
      <c r="D526" s="4" t="n"/>
      <c r="E526" s="4" t="n"/>
      <c r="F526" s="4" t="n"/>
      <c r="G526" s="4" t="n"/>
      <c r="H526" s="4" t="n"/>
      <c r="I526" s="4" t="n"/>
    </row>
    <row r="527" ht="15.75" customHeight="1" s="85">
      <c r="A527" s="4" t="n"/>
      <c r="B527" s="4" t="n"/>
      <c r="C527" s="4" t="n"/>
      <c r="D527" s="4" t="n"/>
      <c r="E527" s="4" t="n"/>
      <c r="F527" s="4" t="n"/>
      <c r="G527" s="4" t="n"/>
      <c r="H527" s="4" t="n"/>
      <c r="I527" s="4" t="n"/>
    </row>
    <row r="528" ht="15.75" customHeight="1" s="85">
      <c r="A528" s="4" t="n"/>
      <c r="B528" s="4" t="n"/>
      <c r="C528" s="4" t="n"/>
      <c r="D528" s="4" t="n"/>
      <c r="E528" s="4" t="n"/>
      <c r="F528" s="4" t="n"/>
      <c r="G528" s="4" t="n"/>
      <c r="H528" s="4" t="n"/>
      <c r="I528" s="4" t="n"/>
    </row>
    <row r="529" ht="15.75" customHeight="1" s="85">
      <c r="A529" s="4" t="n"/>
      <c r="B529" s="4" t="n"/>
      <c r="C529" s="4" t="n"/>
      <c r="D529" s="4" t="n"/>
      <c r="E529" s="4" t="n"/>
      <c r="F529" s="4" t="n"/>
      <c r="G529" s="4" t="n"/>
      <c r="H529" s="4" t="n"/>
      <c r="I529" s="4" t="n"/>
    </row>
    <row r="530" ht="15.75" customHeight="1" s="85">
      <c r="A530" s="4" t="n"/>
      <c r="B530" s="4" t="n"/>
      <c r="C530" s="4" t="n"/>
      <c r="D530" s="4" t="n"/>
      <c r="E530" s="4" t="n"/>
      <c r="F530" s="4" t="n"/>
      <c r="G530" s="4" t="n"/>
      <c r="H530" s="4" t="n"/>
      <c r="I530" s="4" t="n"/>
    </row>
    <row r="531" ht="15.75" customHeight="1" s="85">
      <c r="A531" s="4" t="n"/>
      <c r="B531" s="4" t="n"/>
      <c r="C531" s="4" t="n"/>
      <c r="D531" s="4" t="n"/>
      <c r="E531" s="4" t="n"/>
      <c r="F531" s="4" t="n"/>
      <c r="G531" s="4" t="n"/>
      <c r="H531" s="4" t="n"/>
      <c r="I531" s="4" t="n"/>
    </row>
    <row r="532" ht="15.75" customHeight="1" s="85">
      <c r="A532" s="4" t="n"/>
      <c r="B532" s="4" t="n"/>
      <c r="C532" s="4" t="n"/>
      <c r="D532" s="4" t="n"/>
      <c r="E532" s="4" t="n"/>
      <c r="F532" s="4" t="n"/>
      <c r="G532" s="4" t="n"/>
      <c r="H532" s="4" t="n"/>
      <c r="I532" s="4" t="n"/>
    </row>
    <row r="533" ht="15.75" customHeight="1" s="85">
      <c r="A533" s="4" t="n"/>
      <c r="B533" s="4" t="n"/>
      <c r="C533" s="4" t="n"/>
      <c r="D533" s="4" t="n"/>
      <c r="E533" s="4" t="n"/>
      <c r="F533" s="4" t="n"/>
      <c r="G533" s="4" t="n"/>
      <c r="H533" s="4" t="n"/>
      <c r="I533" s="4" t="n"/>
    </row>
    <row r="534" ht="15.75" customHeight="1" s="85">
      <c r="A534" s="4" t="n"/>
      <c r="B534" s="4" t="n"/>
      <c r="C534" s="4" t="n"/>
      <c r="D534" s="4" t="n"/>
      <c r="E534" s="4" t="n"/>
      <c r="F534" s="4" t="n"/>
      <c r="G534" s="4" t="n"/>
      <c r="H534" s="4" t="n"/>
      <c r="I534" s="4" t="n"/>
    </row>
    <row r="535" ht="15.75" customHeight="1" s="85">
      <c r="A535" s="4" t="n"/>
      <c r="B535" s="4" t="n"/>
      <c r="C535" s="4" t="n"/>
      <c r="D535" s="4" t="n"/>
      <c r="E535" s="4" t="n"/>
      <c r="F535" s="4" t="n"/>
      <c r="G535" s="4" t="n"/>
      <c r="H535" s="4" t="n"/>
      <c r="I535" s="4" t="n"/>
    </row>
    <row r="536" ht="15.75" customHeight="1" s="85">
      <c r="A536" s="4" t="n"/>
      <c r="B536" s="4" t="n"/>
      <c r="C536" s="4" t="n"/>
      <c r="D536" s="4" t="n"/>
      <c r="E536" s="4" t="n"/>
      <c r="F536" s="4" t="n"/>
      <c r="G536" s="4" t="n"/>
      <c r="H536" s="4" t="n"/>
      <c r="I536" s="4" t="n"/>
    </row>
    <row r="537" ht="15.75" customHeight="1" s="85">
      <c r="A537" s="4" t="n"/>
      <c r="B537" s="4" t="n"/>
      <c r="C537" s="4" t="n"/>
      <c r="D537" s="4" t="n"/>
      <c r="E537" s="4" t="n"/>
      <c r="F537" s="4" t="n"/>
      <c r="G537" s="4" t="n"/>
      <c r="H537" s="4" t="n"/>
      <c r="I537" s="4" t="n"/>
    </row>
    <row r="538" ht="15.75" customHeight="1" s="85">
      <c r="A538" s="4" t="n"/>
      <c r="B538" s="4" t="n"/>
      <c r="C538" s="4" t="n"/>
      <c r="D538" s="4" t="n"/>
      <c r="E538" s="4" t="n"/>
      <c r="F538" s="4" t="n"/>
      <c r="G538" s="4" t="n"/>
      <c r="H538" s="4" t="n"/>
      <c r="I538" s="4" t="n"/>
    </row>
    <row r="539" ht="15.75" customHeight="1" s="85">
      <c r="A539" s="4" t="n"/>
      <c r="B539" s="4" t="n"/>
      <c r="C539" s="4" t="n"/>
      <c r="D539" s="4" t="n"/>
      <c r="E539" s="4" t="n"/>
      <c r="F539" s="4" t="n"/>
      <c r="G539" s="4" t="n"/>
      <c r="H539" s="4" t="n"/>
      <c r="I539" s="4" t="n"/>
    </row>
    <row r="540" ht="15.75" customHeight="1" s="85">
      <c r="A540" s="4" t="n"/>
      <c r="B540" s="4" t="n"/>
      <c r="C540" s="4" t="n"/>
      <c r="D540" s="4" t="n"/>
      <c r="E540" s="4" t="n"/>
      <c r="F540" s="4" t="n"/>
      <c r="G540" s="4" t="n"/>
      <c r="H540" s="4" t="n"/>
      <c r="I540" s="4" t="n"/>
    </row>
    <row r="541" ht="15.75" customHeight="1" s="85">
      <c r="A541" s="4" t="n"/>
      <c r="B541" s="4" t="n"/>
      <c r="C541" s="4" t="n"/>
      <c r="D541" s="4" t="n"/>
      <c r="E541" s="4" t="n"/>
      <c r="F541" s="4" t="n"/>
      <c r="G541" s="4" t="n"/>
      <c r="H541" s="4" t="n"/>
      <c r="I541" s="4" t="n"/>
    </row>
    <row r="542" ht="15.75" customHeight="1" s="85">
      <c r="A542" s="4" t="n"/>
      <c r="B542" s="4" t="n"/>
      <c r="C542" s="4" t="n"/>
      <c r="D542" s="4" t="n"/>
      <c r="E542" s="4" t="n"/>
      <c r="F542" s="4" t="n"/>
      <c r="G542" s="4" t="n"/>
      <c r="H542" s="4" t="n"/>
      <c r="I542" s="4" t="n"/>
    </row>
    <row r="543" ht="15.75" customHeight="1" s="85">
      <c r="A543" s="4" t="n"/>
      <c r="B543" s="4" t="n"/>
      <c r="C543" s="4" t="n"/>
      <c r="D543" s="4" t="n"/>
      <c r="E543" s="4" t="n"/>
      <c r="F543" s="4" t="n"/>
      <c r="G543" s="4" t="n"/>
      <c r="H543" s="4" t="n"/>
      <c r="I543" s="4" t="n"/>
    </row>
    <row r="544" ht="15.75" customHeight="1" s="85">
      <c r="A544" s="4" t="n"/>
      <c r="B544" s="4" t="n"/>
      <c r="C544" s="4" t="n"/>
      <c r="D544" s="4" t="n"/>
      <c r="E544" s="4" t="n"/>
      <c r="F544" s="4" t="n"/>
      <c r="G544" s="4" t="n"/>
      <c r="H544" s="4" t="n"/>
      <c r="I544" s="4" t="n"/>
    </row>
    <row r="545" ht="15.75" customHeight="1" s="85">
      <c r="A545" s="4" t="n"/>
      <c r="B545" s="4" t="n"/>
      <c r="C545" s="4" t="n"/>
      <c r="D545" s="4" t="n"/>
      <c r="E545" s="4" t="n"/>
      <c r="F545" s="4" t="n"/>
      <c r="G545" s="4" t="n"/>
      <c r="H545" s="4" t="n"/>
      <c r="I545" s="4" t="n"/>
    </row>
    <row r="546" ht="15.75" customHeight="1" s="85">
      <c r="A546" s="4" t="n"/>
      <c r="B546" s="4" t="n"/>
      <c r="C546" s="4" t="n"/>
      <c r="D546" s="4" t="n"/>
      <c r="E546" s="4" t="n"/>
      <c r="F546" s="4" t="n"/>
      <c r="G546" s="4" t="n"/>
      <c r="H546" s="4" t="n"/>
      <c r="I546" s="4" t="n"/>
    </row>
    <row r="547" ht="15.75" customHeight="1" s="85">
      <c r="A547" s="4" t="n"/>
      <c r="B547" s="4" t="n"/>
      <c r="C547" s="4" t="n"/>
      <c r="D547" s="4" t="n"/>
      <c r="E547" s="4" t="n"/>
      <c r="F547" s="4" t="n"/>
      <c r="G547" s="4" t="n"/>
      <c r="H547" s="4" t="n"/>
      <c r="I547" s="4" t="n"/>
    </row>
    <row r="548" ht="15.75" customHeight="1" s="85">
      <c r="A548" s="4" t="n"/>
      <c r="B548" s="4" t="n"/>
      <c r="C548" s="4" t="n"/>
      <c r="D548" s="4" t="n"/>
      <c r="E548" s="4" t="n"/>
      <c r="F548" s="4" t="n"/>
      <c r="G548" s="4" t="n"/>
      <c r="H548" s="4" t="n"/>
      <c r="I548" s="4" t="n"/>
    </row>
    <row r="549" ht="15.75" customHeight="1" s="85">
      <c r="A549" s="4" t="n"/>
      <c r="B549" s="4" t="n"/>
      <c r="C549" s="4" t="n"/>
      <c r="D549" s="4" t="n"/>
      <c r="E549" s="4" t="n"/>
      <c r="F549" s="4" t="n"/>
      <c r="G549" s="4" t="n"/>
      <c r="H549" s="4" t="n"/>
      <c r="I549" s="4" t="n"/>
    </row>
    <row r="550" ht="15.75" customHeight="1" s="85">
      <c r="A550" s="4" t="n"/>
      <c r="B550" s="4" t="n"/>
      <c r="C550" s="4" t="n"/>
      <c r="D550" s="4" t="n"/>
      <c r="E550" s="4" t="n"/>
      <c r="F550" s="4" t="n"/>
      <c r="G550" s="4" t="n"/>
      <c r="H550" s="4" t="n"/>
      <c r="I550" s="4" t="n"/>
    </row>
    <row r="551" ht="15.75" customHeight="1" s="85">
      <c r="A551" s="4" t="n"/>
      <c r="B551" s="4" t="n"/>
      <c r="C551" s="4" t="n"/>
      <c r="D551" s="4" t="n"/>
      <c r="E551" s="4" t="n"/>
      <c r="F551" s="4" t="n"/>
      <c r="G551" s="4" t="n"/>
      <c r="H551" s="4" t="n"/>
      <c r="I551" s="4" t="n"/>
    </row>
    <row r="552" ht="15.75" customHeight="1" s="85">
      <c r="A552" s="4" t="n"/>
      <c r="B552" s="4" t="n"/>
      <c r="C552" s="4" t="n"/>
      <c r="D552" s="4" t="n"/>
      <c r="E552" s="4" t="n"/>
      <c r="F552" s="4" t="n"/>
      <c r="G552" s="4" t="n"/>
      <c r="H552" s="4" t="n"/>
      <c r="I552" s="4" t="n"/>
    </row>
    <row r="553" ht="15.75" customHeight="1" s="85">
      <c r="A553" s="4" t="n"/>
      <c r="B553" s="4" t="n"/>
      <c r="C553" s="4" t="n"/>
      <c r="D553" s="4" t="n"/>
      <c r="E553" s="4" t="n"/>
      <c r="F553" s="4" t="n"/>
      <c r="G553" s="4" t="n"/>
      <c r="H553" s="4" t="n"/>
      <c r="I553" s="4" t="n"/>
    </row>
    <row r="554" ht="15.75" customHeight="1" s="85">
      <c r="A554" s="4" t="n"/>
      <c r="B554" s="4" t="n"/>
      <c r="C554" s="4" t="n"/>
      <c r="D554" s="4" t="n"/>
      <c r="E554" s="4" t="n"/>
      <c r="F554" s="4" t="n"/>
      <c r="G554" s="4" t="n"/>
      <c r="H554" s="4" t="n"/>
      <c r="I554" s="4" t="n"/>
    </row>
    <row r="555" ht="15.75" customHeight="1" s="85">
      <c r="A555" s="4" t="n"/>
      <c r="B555" s="4" t="n"/>
      <c r="C555" s="4" t="n"/>
      <c r="D555" s="4" t="n"/>
      <c r="E555" s="4" t="n"/>
      <c r="F555" s="4" t="n"/>
      <c r="G555" s="4" t="n"/>
      <c r="H555" s="4" t="n"/>
      <c r="I555" s="4" t="n"/>
    </row>
    <row r="556" ht="15.75" customHeight="1" s="85">
      <c r="A556" s="4" t="n"/>
      <c r="B556" s="4" t="n"/>
      <c r="C556" s="4" t="n"/>
      <c r="D556" s="4" t="n"/>
      <c r="E556" s="4" t="n"/>
      <c r="F556" s="4" t="n"/>
      <c r="G556" s="4" t="n"/>
      <c r="H556" s="4" t="n"/>
      <c r="I556" s="4" t="n"/>
    </row>
    <row r="557" ht="15.75" customHeight="1" s="85">
      <c r="A557" s="4" t="n"/>
      <c r="B557" s="4" t="n"/>
      <c r="C557" s="4" t="n"/>
      <c r="D557" s="4" t="n"/>
      <c r="E557" s="4" t="n"/>
      <c r="F557" s="4" t="n"/>
      <c r="G557" s="4" t="n"/>
      <c r="H557" s="4" t="n"/>
      <c r="I557" s="4" t="n"/>
    </row>
    <row r="558" ht="15.75" customHeight="1" s="85">
      <c r="A558" s="4" t="n"/>
      <c r="B558" s="4" t="n"/>
      <c r="C558" s="4" t="n"/>
      <c r="D558" s="4" t="n"/>
      <c r="E558" s="4" t="n"/>
      <c r="F558" s="4" t="n"/>
      <c r="G558" s="4" t="n"/>
      <c r="H558" s="4" t="n"/>
      <c r="I558" s="4" t="n"/>
    </row>
    <row r="559" ht="15.75" customHeight="1" s="85">
      <c r="A559" s="4" t="n"/>
      <c r="B559" s="4" t="n"/>
      <c r="C559" s="4" t="n"/>
      <c r="D559" s="4" t="n"/>
      <c r="E559" s="4" t="n"/>
      <c r="F559" s="4" t="n"/>
      <c r="G559" s="4" t="n"/>
      <c r="H559" s="4" t="n"/>
      <c r="I559" s="4" t="n"/>
    </row>
    <row r="560" ht="15.75" customHeight="1" s="85">
      <c r="A560" s="4" t="n"/>
      <c r="B560" s="4" t="n"/>
      <c r="C560" s="4" t="n"/>
      <c r="D560" s="4" t="n"/>
      <c r="E560" s="4" t="n"/>
      <c r="F560" s="4" t="n"/>
      <c r="G560" s="4" t="n"/>
      <c r="H560" s="4" t="n"/>
      <c r="I560" s="4" t="n"/>
    </row>
    <row r="561" ht="15.75" customHeight="1" s="85">
      <c r="A561" s="4" t="n"/>
      <c r="B561" s="4" t="n"/>
      <c r="C561" s="4" t="n"/>
      <c r="D561" s="4" t="n"/>
      <c r="E561" s="4" t="n"/>
      <c r="F561" s="4" t="n"/>
      <c r="G561" s="4" t="n"/>
      <c r="H561" s="4" t="n"/>
      <c r="I561" s="4" t="n"/>
    </row>
    <row r="562" ht="15.75" customHeight="1" s="85">
      <c r="A562" s="4" t="n"/>
      <c r="B562" s="4" t="n"/>
      <c r="C562" s="4" t="n"/>
      <c r="D562" s="4" t="n"/>
      <c r="E562" s="4" t="n"/>
      <c r="F562" s="4" t="n"/>
      <c r="G562" s="4" t="n"/>
      <c r="H562" s="4" t="n"/>
      <c r="I562" s="4" t="n"/>
    </row>
    <row r="563" ht="15.75" customHeight="1" s="85">
      <c r="A563" s="4" t="n"/>
      <c r="B563" s="4" t="n"/>
      <c r="C563" s="4" t="n"/>
      <c r="D563" s="4" t="n"/>
      <c r="E563" s="4" t="n"/>
      <c r="F563" s="4" t="n"/>
      <c r="G563" s="4" t="n"/>
      <c r="H563" s="4" t="n"/>
      <c r="I563" s="4" t="n"/>
    </row>
    <row r="564" ht="15.75" customHeight="1" s="85">
      <c r="A564" s="4" t="n"/>
      <c r="B564" s="4" t="n"/>
      <c r="C564" s="4" t="n"/>
      <c r="D564" s="4" t="n"/>
      <c r="E564" s="4" t="n"/>
      <c r="F564" s="4" t="n"/>
      <c r="G564" s="4" t="n"/>
      <c r="H564" s="4" t="n"/>
      <c r="I564" s="4" t="n"/>
    </row>
    <row r="565" ht="15.75" customHeight="1" s="85">
      <c r="A565" s="4" t="n"/>
      <c r="B565" s="4" t="n"/>
      <c r="C565" s="4" t="n"/>
      <c r="D565" s="4" t="n"/>
      <c r="E565" s="4" t="n"/>
      <c r="F565" s="4" t="n"/>
      <c r="G565" s="4" t="n"/>
      <c r="H565" s="4" t="n"/>
      <c r="I565" s="4" t="n"/>
    </row>
    <row r="566" ht="15.75" customHeight="1" s="85">
      <c r="A566" s="4" t="n"/>
      <c r="B566" s="4" t="n"/>
      <c r="C566" s="4" t="n"/>
      <c r="D566" s="4" t="n"/>
      <c r="E566" s="4" t="n"/>
      <c r="F566" s="4" t="n"/>
      <c r="G566" s="4" t="n"/>
      <c r="H566" s="4" t="n"/>
      <c r="I566" s="4" t="n"/>
    </row>
    <row r="567" ht="15.75" customHeight="1" s="85">
      <c r="A567" s="4" t="n"/>
      <c r="B567" s="4" t="n"/>
      <c r="C567" s="4" t="n"/>
      <c r="D567" s="4" t="n"/>
      <c r="E567" s="4" t="n"/>
      <c r="F567" s="4" t="n"/>
      <c r="G567" s="4" t="n"/>
      <c r="H567" s="4" t="n"/>
      <c r="I567" s="4" t="n"/>
    </row>
    <row r="568" ht="15.75" customHeight="1" s="85">
      <c r="A568" s="4" t="n"/>
      <c r="B568" s="4" t="n"/>
      <c r="C568" s="4" t="n"/>
      <c r="D568" s="4" t="n"/>
      <c r="E568" s="4" t="n"/>
      <c r="F568" s="4" t="n"/>
      <c r="G568" s="4" t="n"/>
      <c r="H568" s="4" t="n"/>
      <c r="I568" s="4" t="n"/>
    </row>
    <row r="569" ht="15.75" customHeight="1" s="85">
      <c r="A569" s="4" t="n"/>
      <c r="B569" s="4" t="n"/>
      <c r="C569" s="4" t="n"/>
      <c r="D569" s="4" t="n"/>
      <c r="E569" s="4" t="n"/>
      <c r="F569" s="4" t="n"/>
      <c r="G569" s="4" t="n"/>
      <c r="H569" s="4" t="n"/>
      <c r="I569" s="4" t="n"/>
    </row>
    <row r="570" ht="15.75" customHeight="1" s="85">
      <c r="A570" s="4" t="n"/>
      <c r="B570" s="4" t="n"/>
      <c r="C570" s="4" t="n"/>
      <c r="D570" s="4" t="n"/>
      <c r="E570" s="4" t="n"/>
      <c r="F570" s="4" t="n"/>
      <c r="G570" s="4" t="n"/>
      <c r="H570" s="4" t="n"/>
      <c r="I570" s="4" t="n"/>
    </row>
    <row r="571" ht="15.75" customHeight="1" s="85">
      <c r="A571" s="4" t="n"/>
      <c r="B571" s="4" t="n"/>
      <c r="C571" s="4" t="n"/>
      <c r="D571" s="4" t="n"/>
      <c r="E571" s="4" t="n"/>
      <c r="F571" s="4" t="n"/>
      <c r="G571" s="4" t="n"/>
      <c r="H571" s="4" t="n"/>
      <c r="I571" s="4" t="n"/>
    </row>
    <row r="572" ht="15.75" customHeight="1" s="85">
      <c r="A572" s="4" t="n"/>
      <c r="B572" s="4" t="n"/>
      <c r="C572" s="4" t="n"/>
      <c r="D572" s="4" t="n"/>
      <c r="E572" s="4" t="n"/>
      <c r="F572" s="4" t="n"/>
      <c r="G572" s="4" t="n"/>
      <c r="H572" s="4" t="n"/>
      <c r="I572" s="4" t="n"/>
    </row>
    <row r="573" ht="15.75" customHeight="1" s="85">
      <c r="A573" s="4" t="n"/>
      <c r="B573" s="4" t="n"/>
      <c r="C573" s="4" t="n"/>
      <c r="D573" s="4" t="n"/>
      <c r="E573" s="4" t="n"/>
      <c r="F573" s="4" t="n"/>
      <c r="G573" s="4" t="n"/>
      <c r="H573" s="4" t="n"/>
      <c r="I573" s="4" t="n"/>
    </row>
    <row r="574" ht="15.75" customHeight="1" s="85">
      <c r="A574" s="4" t="n"/>
      <c r="B574" s="4" t="n"/>
      <c r="C574" s="4" t="n"/>
      <c r="D574" s="4" t="n"/>
      <c r="E574" s="4" t="n"/>
      <c r="F574" s="4" t="n"/>
      <c r="G574" s="4" t="n"/>
      <c r="H574" s="4" t="n"/>
      <c r="I574" s="4" t="n"/>
    </row>
    <row r="575" ht="15.75" customHeight="1" s="85">
      <c r="A575" s="4" t="n"/>
      <c r="B575" s="4" t="n"/>
      <c r="C575" s="4" t="n"/>
      <c r="D575" s="4" t="n"/>
      <c r="E575" s="4" t="n"/>
      <c r="F575" s="4" t="n"/>
      <c r="G575" s="4" t="n"/>
      <c r="H575" s="4" t="n"/>
      <c r="I575" s="4" t="n"/>
    </row>
    <row r="576" ht="15.75" customHeight="1" s="85">
      <c r="A576" s="4" t="n"/>
      <c r="B576" s="4" t="n"/>
      <c r="C576" s="4" t="n"/>
      <c r="D576" s="4" t="n"/>
      <c r="E576" s="4" t="n"/>
      <c r="F576" s="4" t="n"/>
      <c r="G576" s="4" t="n"/>
      <c r="H576" s="4" t="n"/>
      <c r="I576" s="4" t="n"/>
    </row>
    <row r="577" ht="15.75" customHeight="1" s="85">
      <c r="A577" s="4" t="n"/>
      <c r="B577" s="4" t="n"/>
      <c r="C577" s="4" t="n"/>
      <c r="D577" s="4" t="n"/>
      <c r="E577" s="4" t="n"/>
      <c r="F577" s="4" t="n"/>
      <c r="G577" s="4" t="n"/>
      <c r="H577" s="4" t="n"/>
      <c r="I577" s="4" t="n"/>
    </row>
    <row r="578" ht="15.75" customHeight="1" s="85">
      <c r="A578" s="4" t="n"/>
      <c r="B578" s="4" t="n"/>
      <c r="C578" s="4" t="n"/>
      <c r="D578" s="4" t="n"/>
      <c r="E578" s="4" t="n"/>
      <c r="F578" s="4" t="n"/>
      <c r="G578" s="4" t="n"/>
      <c r="H578" s="4" t="n"/>
      <c r="I578" s="4" t="n"/>
    </row>
    <row r="579" ht="15.75" customHeight="1" s="85">
      <c r="A579" s="4" t="n"/>
      <c r="B579" s="4" t="n"/>
      <c r="C579" s="4" t="n"/>
      <c r="D579" s="4" t="n"/>
      <c r="E579" s="4" t="n"/>
      <c r="F579" s="4" t="n"/>
      <c r="G579" s="4" t="n"/>
      <c r="H579" s="4" t="n"/>
      <c r="I579" s="4" t="n"/>
    </row>
    <row r="580" ht="15.75" customHeight="1" s="85">
      <c r="A580" s="4" t="n"/>
      <c r="B580" s="4" t="n"/>
      <c r="C580" s="4" t="n"/>
      <c r="D580" s="4" t="n"/>
      <c r="E580" s="4" t="n"/>
      <c r="F580" s="4" t="n"/>
      <c r="G580" s="4" t="n"/>
      <c r="H580" s="4" t="n"/>
      <c r="I580" s="4" t="n"/>
    </row>
    <row r="581" ht="15.75" customHeight="1" s="85">
      <c r="A581" s="4" t="n"/>
      <c r="B581" s="4" t="n"/>
      <c r="C581" s="4" t="n"/>
      <c r="D581" s="4" t="n"/>
      <c r="E581" s="4" t="n"/>
      <c r="F581" s="4" t="n"/>
      <c r="G581" s="4" t="n"/>
      <c r="H581" s="4" t="n"/>
      <c r="I581" s="4" t="n"/>
    </row>
    <row r="582" ht="15.75" customHeight="1" s="85">
      <c r="A582" s="4" t="n"/>
      <c r="B582" s="4" t="n"/>
      <c r="C582" s="4" t="n"/>
      <c r="D582" s="4" t="n"/>
      <c r="E582" s="4" t="n"/>
      <c r="F582" s="4" t="n"/>
      <c r="G582" s="4" t="n"/>
      <c r="H582" s="4" t="n"/>
      <c r="I582" s="4" t="n"/>
    </row>
    <row r="583" ht="15.75" customHeight="1" s="85">
      <c r="A583" s="4" t="n"/>
      <c r="B583" s="4" t="n"/>
      <c r="C583" s="4" t="n"/>
      <c r="D583" s="4" t="n"/>
      <c r="E583" s="4" t="n"/>
      <c r="F583" s="4" t="n"/>
      <c r="G583" s="4" t="n"/>
      <c r="H583" s="4" t="n"/>
      <c r="I583" s="4" t="n"/>
    </row>
    <row r="584" ht="15.75" customHeight="1" s="85">
      <c r="A584" s="4" t="n"/>
      <c r="B584" s="4" t="n"/>
      <c r="C584" s="4" t="n"/>
      <c r="D584" s="4" t="n"/>
      <c r="E584" s="4" t="n"/>
      <c r="F584" s="4" t="n"/>
      <c r="G584" s="4" t="n"/>
      <c r="H584" s="4" t="n"/>
      <c r="I584" s="4" t="n"/>
    </row>
    <row r="585" ht="15.75" customHeight="1" s="85">
      <c r="A585" s="4" t="n"/>
      <c r="B585" s="4" t="n"/>
      <c r="C585" s="4" t="n"/>
      <c r="D585" s="4" t="n"/>
      <c r="E585" s="4" t="n"/>
      <c r="F585" s="4" t="n"/>
      <c r="G585" s="4" t="n"/>
      <c r="H585" s="4" t="n"/>
      <c r="I585" s="4" t="n"/>
    </row>
    <row r="586" ht="15.75" customHeight="1" s="85">
      <c r="A586" s="4" t="n"/>
      <c r="B586" s="4" t="n"/>
      <c r="C586" s="4" t="n"/>
      <c r="D586" s="4" t="n"/>
      <c r="E586" s="4" t="n"/>
      <c r="F586" s="4" t="n"/>
      <c r="G586" s="4" t="n"/>
      <c r="H586" s="4" t="n"/>
      <c r="I586" s="4" t="n"/>
    </row>
    <row r="587" ht="15.75" customHeight="1" s="85">
      <c r="A587" s="4" t="n"/>
      <c r="B587" s="4" t="n"/>
      <c r="C587" s="4" t="n"/>
      <c r="D587" s="4" t="n"/>
      <c r="E587" s="4" t="n"/>
      <c r="F587" s="4" t="n"/>
      <c r="G587" s="4" t="n"/>
      <c r="H587" s="4" t="n"/>
      <c r="I587" s="4" t="n"/>
    </row>
    <row r="588" ht="15.75" customHeight="1" s="85">
      <c r="A588" s="4" t="n"/>
      <c r="B588" s="4" t="n"/>
      <c r="C588" s="4" t="n"/>
      <c r="D588" s="4" t="n"/>
      <c r="E588" s="4" t="n"/>
      <c r="F588" s="4" t="n"/>
      <c r="G588" s="4" t="n"/>
      <c r="H588" s="4" t="n"/>
      <c r="I588" s="4" t="n"/>
    </row>
    <row r="589" ht="15.75" customHeight="1" s="85">
      <c r="A589" s="4" t="n"/>
      <c r="B589" s="4" t="n"/>
      <c r="C589" s="4" t="n"/>
      <c r="D589" s="4" t="n"/>
      <c r="E589" s="4" t="n"/>
      <c r="F589" s="4" t="n"/>
      <c r="G589" s="4" t="n"/>
      <c r="H589" s="4" t="n"/>
      <c r="I589" s="4" t="n"/>
    </row>
    <row r="590" ht="15.75" customHeight="1" s="85">
      <c r="A590" s="4" t="n"/>
      <c r="B590" s="4" t="n"/>
      <c r="C590" s="4" t="n"/>
      <c r="D590" s="4" t="n"/>
      <c r="E590" s="4" t="n"/>
      <c r="F590" s="4" t="n"/>
      <c r="G590" s="4" t="n"/>
      <c r="H590" s="4" t="n"/>
      <c r="I590" s="4" t="n"/>
    </row>
    <row r="591" ht="15.75" customHeight="1" s="85">
      <c r="A591" s="4" t="n"/>
      <c r="B591" s="4" t="n"/>
      <c r="C591" s="4" t="n"/>
      <c r="D591" s="4" t="n"/>
      <c r="E591" s="4" t="n"/>
      <c r="F591" s="4" t="n"/>
      <c r="G591" s="4" t="n"/>
      <c r="H591" s="4" t="n"/>
      <c r="I591" s="4" t="n"/>
    </row>
    <row r="592" ht="15.75" customHeight="1" s="85">
      <c r="A592" s="4" t="n"/>
      <c r="B592" s="4" t="n"/>
      <c r="C592" s="4" t="n"/>
      <c r="D592" s="4" t="n"/>
      <c r="E592" s="4" t="n"/>
      <c r="F592" s="4" t="n"/>
      <c r="G592" s="4" t="n"/>
      <c r="H592" s="4" t="n"/>
      <c r="I592" s="4" t="n"/>
    </row>
    <row r="593" ht="15.75" customHeight="1" s="85">
      <c r="A593" s="4" t="n"/>
      <c r="B593" s="4" t="n"/>
      <c r="C593" s="4" t="n"/>
      <c r="D593" s="4" t="n"/>
      <c r="E593" s="4" t="n"/>
      <c r="F593" s="4" t="n"/>
      <c r="G593" s="4" t="n"/>
      <c r="H593" s="4" t="n"/>
      <c r="I593" s="4" t="n"/>
    </row>
    <row r="594" ht="15.75" customHeight="1" s="85">
      <c r="A594" s="4" t="n"/>
      <c r="B594" s="4" t="n"/>
      <c r="C594" s="4" t="n"/>
      <c r="D594" s="4" t="n"/>
      <c r="E594" s="4" t="n"/>
      <c r="F594" s="4" t="n"/>
      <c r="G594" s="4" t="n"/>
      <c r="H594" s="4" t="n"/>
      <c r="I594" s="4" t="n"/>
    </row>
    <row r="595" ht="15.75" customHeight="1" s="85">
      <c r="A595" s="4" t="n"/>
      <c r="B595" s="4" t="n"/>
      <c r="C595" s="4" t="n"/>
      <c r="D595" s="4" t="n"/>
      <c r="E595" s="4" t="n"/>
      <c r="F595" s="4" t="n"/>
      <c r="G595" s="4" t="n"/>
      <c r="H595" s="4" t="n"/>
      <c r="I595" s="4" t="n"/>
    </row>
    <row r="596" ht="15.75" customHeight="1" s="85">
      <c r="A596" s="4" t="n"/>
      <c r="B596" s="4" t="n"/>
      <c r="C596" s="4" t="n"/>
      <c r="D596" s="4" t="n"/>
      <c r="E596" s="4" t="n"/>
      <c r="F596" s="4" t="n"/>
      <c r="G596" s="4" t="n"/>
      <c r="H596" s="4" t="n"/>
      <c r="I596" s="4" t="n"/>
    </row>
    <row r="597" ht="15.75" customHeight="1" s="85">
      <c r="A597" s="4" t="n"/>
      <c r="B597" s="4" t="n"/>
      <c r="C597" s="4" t="n"/>
      <c r="D597" s="4" t="n"/>
      <c r="E597" s="4" t="n"/>
      <c r="F597" s="4" t="n"/>
      <c r="G597" s="4" t="n"/>
      <c r="H597" s="4" t="n"/>
      <c r="I597" s="4" t="n"/>
    </row>
    <row r="598" ht="15.75" customHeight="1" s="85">
      <c r="A598" s="4" t="n"/>
      <c r="B598" s="4" t="n"/>
      <c r="C598" s="4" t="n"/>
      <c r="D598" s="4" t="n"/>
      <c r="E598" s="4" t="n"/>
      <c r="F598" s="4" t="n"/>
      <c r="G598" s="4" t="n"/>
      <c r="H598" s="4" t="n"/>
      <c r="I598" s="4" t="n"/>
    </row>
    <row r="599" ht="15.75" customHeight="1" s="85">
      <c r="A599" s="4" t="n"/>
      <c r="B599" s="4" t="n"/>
      <c r="C599" s="4" t="n"/>
      <c r="D599" s="4" t="n"/>
      <c r="E599" s="4" t="n"/>
      <c r="F599" s="4" t="n"/>
      <c r="G599" s="4" t="n"/>
      <c r="H599" s="4" t="n"/>
      <c r="I599" s="4" t="n"/>
    </row>
    <row r="600" ht="15.75" customHeight="1" s="85">
      <c r="A600" s="4" t="n"/>
      <c r="B600" s="4" t="n"/>
      <c r="C600" s="4" t="n"/>
      <c r="D600" s="4" t="n"/>
      <c r="E600" s="4" t="n"/>
      <c r="F600" s="4" t="n"/>
      <c r="G600" s="4" t="n"/>
      <c r="H600" s="4" t="n"/>
      <c r="I600" s="4" t="n"/>
    </row>
    <row r="601" ht="15.75" customHeight="1" s="85">
      <c r="A601" s="4" t="n"/>
      <c r="B601" s="4" t="n"/>
      <c r="C601" s="4" t="n"/>
      <c r="D601" s="4" t="n"/>
      <c r="E601" s="4" t="n"/>
      <c r="F601" s="4" t="n"/>
      <c r="G601" s="4" t="n"/>
      <c r="H601" s="4" t="n"/>
      <c r="I601" s="4" t="n"/>
    </row>
    <row r="602" ht="15.75" customHeight="1" s="85">
      <c r="A602" s="4" t="n"/>
      <c r="B602" s="4" t="n"/>
      <c r="C602" s="4" t="n"/>
      <c r="D602" s="4" t="n"/>
      <c r="E602" s="4" t="n"/>
      <c r="F602" s="4" t="n"/>
      <c r="G602" s="4" t="n"/>
      <c r="H602" s="4" t="n"/>
      <c r="I602" s="4" t="n"/>
    </row>
    <row r="603" ht="15.75" customHeight="1" s="85">
      <c r="A603" s="4" t="n"/>
      <c r="B603" s="4" t="n"/>
      <c r="C603" s="4" t="n"/>
      <c r="D603" s="4" t="n"/>
      <c r="E603" s="4" t="n"/>
      <c r="F603" s="4" t="n"/>
      <c r="G603" s="4" t="n"/>
      <c r="H603" s="4" t="n"/>
      <c r="I603" s="4" t="n"/>
    </row>
    <row r="604" ht="15.75" customHeight="1" s="85">
      <c r="A604" s="4" t="n"/>
      <c r="B604" s="4" t="n"/>
      <c r="C604" s="4" t="n"/>
      <c r="D604" s="4" t="n"/>
      <c r="E604" s="4" t="n"/>
      <c r="F604" s="4" t="n"/>
      <c r="G604" s="4" t="n"/>
      <c r="H604" s="4" t="n"/>
      <c r="I604" s="4" t="n"/>
    </row>
    <row r="605" ht="15.75" customHeight="1" s="85">
      <c r="A605" s="4" t="n"/>
      <c r="B605" s="4" t="n"/>
      <c r="C605" s="4" t="n"/>
      <c r="D605" s="4" t="n"/>
      <c r="E605" s="4" t="n"/>
      <c r="F605" s="4" t="n"/>
      <c r="G605" s="4" t="n"/>
      <c r="H605" s="4" t="n"/>
      <c r="I605" s="4" t="n"/>
    </row>
    <row r="606" ht="15.75" customHeight="1" s="85">
      <c r="A606" s="4" t="n"/>
      <c r="B606" s="4" t="n"/>
      <c r="C606" s="4" t="n"/>
      <c r="D606" s="4" t="n"/>
      <c r="E606" s="4" t="n"/>
      <c r="F606" s="4" t="n"/>
      <c r="G606" s="4" t="n"/>
      <c r="H606" s="4" t="n"/>
      <c r="I606" s="4" t="n"/>
    </row>
    <row r="607" ht="15.75" customHeight="1" s="85">
      <c r="A607" s="4" t="n"/>
      <c r="B607" s="4" t="n"/>
      <c r="C607" s="4" t="n"/>
      <c r="D607" s="4" t="n"/>
      <c r="E607" s="4" t="n"/>
      <c r="F607" s="4" t="n"/>
      <c r="G607" s="4" t="n"/>
      <c r="H607" s="4" t="n"/>
      <c r="I607" s="4" t="n"/>
    </row>
    <row r="608" ht="15.75" customHeight="1" s="85">
      <c r="A608" s="4" t="n"/>
      <c r="B608" s="4" t="n"/>
      <c r="C608" s="4" t="n"/>
      <c r="D608" s="4" t="n"/>
      <c r="E608" s="4" t="n"/>
      <c r="F608" s="4" t="n"/>
      <c r="G608" s="4" t="n"/>
      <c r="H608" s="4" t="n"/>
      <c r="I608" s="4" t="n"/>
    </row>
    <row r="609" ht="15.75" customHeight="1" s="85">
      <c r="A609" s="4" t="n"/>
      <c r="B609" s="4" t="n"/>
      <c r="C609" s="4" t="n"/>
      <c r="D609" s="4" t="n"/>
      <c r="E609" s="4" t="n"/>
      <c r="F609" s="4" t="n"/>
      <c r="G609" s="4" t="n"/>
      <c r="H609" s="4" t="n"/>
      <c r="I609" s="4" t="n"/>
    </row>
    <row r="610" ht="15.75" customHeight="1" s="85">
      <c r="A610" s="4" t="n"/>
      <c r="B610" s="4" t="n"/>
      <c r="C610" s="4" t="n"/>
      <c r="D610" s="4" t="n"/>
      <c r="E610" s="4" t="n"/>
      <c r="F610" s="4" t="n"/>
      <c r="G610" s="4" t="n"/>
      <c r="H610" s="4" t="n"/>
      <c r="I610" s="4" t="n"/>
    </row>
    <row r="611" ht="15.75" customHeight="1" s="85">
      <c r="A611" s="4" t="n"/>
      <c r="B611" s="4" t="n"/>
      <c r="C611" s="4" t="n"/>
      <c r="D611" s="4" t="n"/>
      <c r="E611" s="4" t="n"/>
      <c r="F611" s="4" t="n"/>
      <c r="G611" s="4" t="n"/>
      <c r="H611" s="4" t="n"/>
      <c r="I611" s="4" t="n"/>
    </row>
    <row r="612" ht="15.75" customHeight="1" s="85">
      <c r="A612" s="4" t="n"/>
      <c r="B612" s="4" t="n"/>
      <c r="C612" s="4" t="n"/>
      <c r="D612" s="4" t="n"/>
      <c r="E612" s="4" t="n"/>
      <c r="F612" s="4" t="n"/>
      <c r="G612" s="4" t="n"/>
      <c r="H612" s="4" t="n"/>
      <c r="I612" s="4" t="n"/>
    </row>
    <row r="613" ht="15.75" customHeight="1" s="85">
      <c r="A613" s="4" t="n"/>
      <c r="B613" s="4" t="n"/>
      <c r="C613" s="4" t="n"/>
      <c r="D613" s="4" t="n"/>
      <c r="E613" s="4" t="n"/>
      <c r="F613" s="4" t="n"/>
      <c r="G613" s="4" t="n"/>
      <c r="H613" s="4" t="n"/>
      <c r="I613" s="4" t="n"/>
    </row>
    <row r="614" ht="15.75" customHeight="1" s="85">
      <c r="A614" s="4" t="n"/>
      <c r="B614" s="4" t="n"/>
      <c r="C614" s="4" t="n"/>
      <c r="D614" s="4" t="n"/>
      <c r="E614" s="4" t="n"/>
      <c r="F614" s="4" t="n"/>
      <c r="G614" s="4" t="n"/>
      <c r="H614" s="4" t="n"/>
      <c r="I614" s="4" t="n"/>
    </row>
    <row r="615" ht="15.75" customHeight="1" s="85">
      <c r="A615" s="4" t="n"/>
      <c r="B615" s="4" t="n"/>
      <c r="C615" s="4" t="n"/>
      <c r="D615" s="4" t="n"/>
      <c r="E615" s="4" t="n"/>
      <c r="F615" s="4" t="n"/>
      <c r="G615" s="4" t="n"/>
      <c r="H615" s="4" t="n"/>
      <c r="I615" s="4" t="n"/>
    </row>
    <row r="616" ht="15.75" customHeight="1" s="85">
      <c r="A616" s="4" t="n"/>
      <c r="B616" s="4" t="n"/>
      <c r="C616" s="4" t="n"/>
      <c r="D616" s="4" t="n"/>
      <c r="E616" s="4" t="n"/>
      <c r="F616" s="4" t="n"/>
      <c r="G616" s="4" t="n"/>
      <c r="H616" s="4" t="n"/>
      <c r="I616" s="4" t="n"/>
    </row>
    <row r="617" ht="15.75" customHeight="1" s="85">
      <c r="A617" s="4" t="n"/>
      <c r="B617" s="4" t="n"/>
      <c r="C617" s="4" t="n"/>
      <c r="D617" s="4" t="n"/>
      <c r="E617" s="4" t="n"/>
      <c r="F617" s="4" t="n"/>
      <c r="G617" s="4" t="n"/>
      <c r="H617" s="4" t="n"/>
      <c r="I617" s="4" t="n"/>
    </row>
    <row r="618" ht="15.75" customHeight="1" s="85">
      <c r="A618" s="4" t="n"/>
      <c r="B618" s="4" t="n"/>
      <c r="C618" s="4" t="n"/>
      <c r="D618" s="4" t="n"/>
      <c r="E618" s="4" t="n"/>
      <c r="F618" s="4" t="n"/>
      <c r="G618" s="4" t="n"/>
      <c r="H618" s="4" t="n"/>
      <c r="I618" s="4" t="n"/>
    </row>
    <row r="619" ht="15.75" customHeight="1" s="85">
      <c r="A619" s="4" t="n"/>
      <c r="B619" s="4" t="n"/>
      <c r="C619" s="4" t="n"/>
      <c r="D619" s="4" t="n"/>
      <c r="E619" s="4" t="n"/>
      <c r="F619" s="4" t="n"/>
      <c r="G619" s="4" t="n"/>
      <c r="H619" s="4" t="n"/>
      <c r="I619" s="4" t="n"/>
    </row>
    <row r="620" ht="15.75" customHeight="1" s="85">
      <c r="A620" s="4" t="n"/>
      <c r="B620" s="4" t="n"/>
      <c r="C620" s="4" t="n"/>
      <c r="D620" s="4" t="n"/>
      <c r="E620" s="4" t="n"/>
      <c r="F620" s="4" t="n"/>
      <c r="G620" s="4" t="n"/>
      <c r="H620" s="4" t="n"/>
      <c r="I620" s="4" t="n"/>
    </row>
    <row r="621" ht="15.75" customHeight="1" s="85">
      <c r="A621" s="4" t="n"/>
      <c r="B621" s="4" t="n"/>
      <c r="C621" s="4" t="n"/>
      <c r="D621" s="4" t="n"/>
      <c r="E621" s="4" t="n"/>
      <c r="F621" s="4" t="n"/>
      <c r="G621" s="4" t="n"/>
      <c r="H621" s="4" t="n"/>
      <c r="I621" s="4" t="n"/>
    </row>
    <row r="622" ht="15.75" customHeight="1" s="85">
      <c r="A622" s="4" t="n"/>
      <c r="B622" s="4" t="n"/>
      <c r="C622" s="4" t="n"/>
      <c r="D622" s="4" t="n"/>
      <c r="E622" s="4" t="n"/>
      <c r="F622" s="4" t="n"/>
      <c r="G622" s="4" t="n"/>
      <c r="H622" s="4" t="n"/>
      <c r="I622" s="4" t="n"/>
    </row>
    <row r="623" ht="15.75" customHeight="1" s="85">
      <c r="A623" s="4" t="n"/>
      <c r="B623" s="4" t="n"/>
      <c r="C623" s="4" t="n"/>
      <c r="D623" s="4" t="n"/>
      <c r="E623" s="4" t="n"/>
      <c r="F623" s="4" t="n"/>
      <c r="G623" s="4" t="n"/>
      <c r="H623" s="4" t="n"/>
      <c r="I623" s="4" t="n"/>
    </row>
    <row r="624" ht="15.75" customHeight="1" s="85">
      <c r="A624" s="4" t="n"/>
      <c r="B624" s="4" t="n"/>
      <c r="C624" s="4" t="n"/>
      <c r="D624" s="4" t="n"/>
      <c r="E624" s="4" t="n"/>
      <c r="F624" s="4" t="n"/>
      <c r="G624" s="4" t="n"/>
      <c r="H624" s="4" t="n"/>
      <c r="I624" s="4" t="n"/>
    </row>
    <row r="625" ht="15.75" customHeight="1" s="85">
      <c r="A625" s="4" t="n"/>
      <c r="B625" s="4" t="n"/>
      <c r="C625" s="4" t="n"/>
      <c r="D625" s="4" t="n"/>
      <c r="E625" s="4" t="n"/>
      <c r="F625" s="4" t="n"/>
      <c r="G625" s="4" t="n"/>
      <c r="H625" s="4" t="n"/>
      <c r="I625" s="4" t="n"/>
    </row>
    <row r="626" ht="15.75" customHeight="1" s="85">
      <c r="A626" s="4" t="n"/>
      <c r="B626" s="4" t="n"/>
      <c r="C626" s="4" t="n"/>
      <c r="D626" s="4" t="n"/>
      <c r="E626" s="4" t="n"/>
      <c r="F626" s="4" t="n"/>
      <c r="G626" s="4" t="n"/>
      <c r="H626" s="4" t="n"/>
      <c r="I626" s="4" t="n"/>
    </row>
    <row r="627" ht="15.75" customHeight="1" s="85">
      <c r="A627" s="4" t="n"/>
      <c r="B627" s="4" t="n"/>
      <c r="C627" s="4" t="n"/>
      <c r="D627" s="4" t="n"/>
      <c r="E627" s="4" t="n"/>
      <c r="F627" s="4" t="n"/>
      <c r="G627" s="4" t="n"/>
      <c r="H627" s="4" t="n"/>
      <c r="I627" s="4" t="n"/>
    </row>
    <row r="628" ht="15.75" customHeight="1" s="85">
      <c r="A628" s="4" t="n"/>
      <c r="B628" s="4" t="n"/>
      <c r="C628" s="4" t="n"/>
      <c r="D628" s="4" t="n"/>
      <c r="E628" s="4" t="n"/>
      <c r="F628" s="4" t="n"/>
      <c r="G628" s="4" t="n"/>
      <c r="H628" s="4" t="n"/>
      <c r="I628" s="4" t="n"/>
    </row>
    <row r="629" ht="15.75" customHeight="1" s="85">
      <c r="A629" s="4" t="n"/>
      <c r="B629" s="4" t="n"/>
      <c r="C629" s="4" t="n"/>
      <c r="D629" s="4" t="n"/>
      <c r="E629" s="4" t="n"/>
      <c r="F629" s="4" t="n"/>
      <c r="G629" s="4" t="n"/>
      <c r="H629" s="4" t="n"/>
      <c r="I629" s="4" t="n"/>
    </row>
    <row r="630" ht="15.75" customHeight="1" s="85">
      <c r="A630" s="4" t="n"/>
      <c r="B630" s="4" t="n"/>
      <c r="C630" s="4" t="n"/>
      <c r="D630" s="4" t="n"/>
      <c r="E630" s="4" t="n"/>
      <c r="F630" s="4" t="n"/>
      <c r="G630" s="4" t="n"/>
      <c r="H630" s="4" t="n"/>
      <c r="I630" s="4" t="n"/>
    </row>
    <row r="631" ht="15.75" customHeight="1" s="85">
      <c r="A631" s="4" t="n"/>
      <c r="B631" s="4" t="n"/>
      <c r="C631" s="4" t="n"/>
      <c r="D631" s="4" t="n"/>
      <c r="E631" s="4" t="n"/>
      <c r="F631" s="4" t="n"/>
      <c r="G631" s="4" t="n"/>
      <c r="H631" s="4" t="n"/>
      <c r="I631" s="4" t="n"/>
    </row>
    <row r="632" ht="15.75" customHeight="1" s="85">
      <c r="A632" s="4" t="n"/>
      <c r="B632" s="4" t="n"/>
      <c r="C632" s="4" t="n"/>
      <c r="D632" s="4" t="n"/>
      <c r="E632" s="4" t="n"/>
      <c r="F632" s="4" t="n"/>
      <c r="G632" s="4" t="n"/>
      <c r="H632" s="4" t="n"/>
      <c r="I632" s="4" t="n"/>
    </row>
    <row r="633" ht="15.75" customHeight="1" s="85">
      <c r="A633" s="4" t="n"/>
      <c r="B633" s="4" t="n"/>
      <c r="C633" s="4" t="n"/>
      <c r="D633" s="4" t="n"/>
      <c r="E633" s="4" t="n"/>
      <c r="F633" s="4" t="n"/>
      <c r="G633" s="4" t="n"/>
      <c r="H633" s="4" t="n"/>
      <c r="I633" s="4" t="n"/>
    </row>
    <row r="634" ht="15.75" customHeight="1" s="85">
      <c r="A634" s="4" t="n"/>
      <c r="B634" s="4" t="n"/>
      <c r="C634" s="4" t="n"/>
      <c r="D634" s="4" t="n"/>
      <c r="E634" s="4" t="n"/>
      <c r="F634" s="4" t="n"/>
      <c r="G634" s="4" t="n"/>
      <c r="H634" s="4" t="n"/>
      <c r="I634" s="4" t="n"/>
    </row>
    <row r="635" ht="15.75" customHeight="1" s="85">
      <c r="A635" s="4" t="n"/>
      <c r="B635" s="4" t="n"/>
      <c r="C635" s="4" t="n"/>
      <c r="D635" s="4" t="n"/>
      <c r="E635" s="4" t="n"/>
      <c r="F635" s="4" t="n"/>
      <c r="G635" s="4" t="n"/>
      <c r="H635" s="4" t="n"/>
      <c r="I635" s="4" t="n"/>
    </row>
    <row r="636" ht="15.75" customHeight="1" s="85">
      <c r="A636" s="4" t="n"/>
      <c r="B636" s="4" t="n"/>
      <c r="C636" s="4" t="n"/>
      <c r="D636" s="4" t="n"/>
      <c r="E636" s="4" t="n"/>
      <c r="F636" s="4" t="n"/>
      <c r="G636" s="4" t="n"/>
      <c r="H636" s="4" t="n"/>
      <c r="I636" s="4" t="n"/>
    </row>
    <row r="637" ht="15.75" customHeight="1" s="85">
      <c r="A637" s="4" t="n"/>
      <c r="B637" s="4" t="n"/>
      <c r="C637" s="4" t="n"/>
      <c r="D637" s="4" t="n"/>
      <c r="E637" s="4" t="n"/>
      <c r="F637" s="4" t="n"/>
      <c r="G637" s="4" t="n"/>
      <c r="H637" s="4" t="n"/>
      <c r="I637" s="4" t="n"/>
    </row>
    <row r="638" ht="15.75" customHeight="1" s="85">
      <c r="A638" s="4" t="n"/>
      <c r="B638" s="4" t="n"/>
      <c r="C638" s="4" t="n"/>
      <c r="D638" s="4" t="n"/>
      <c r="E638" s="4" t="n"/>
      <c r="F638" s="4" t="n"/>
      <c r="G638" s="4" t="n"/>
      <c r="H638" s="4" t="n"/>
      <c r="I638" s="4" t="n"/>
    </row>
    <row r="639" ht="15.75" customHeight="1" s="85">
      <c r="A639" s="4" t="n"/>
      <c r="B639" s="4" t="n"/>
      <c r="C639" s="4" t="n"/>
      <c r="D639" s="4" t="n"/>
      <c r="E639" s="4" t="n"/>
      <c r="F639" s="4" t="n"/>
      <c r="G639" s="4" t="n"/>
      <c r="H639" s="4" t="n"/>
      <c r="I639" s="4" t="n"/>
    </row>
    <row r="640" ht="15.75" customHeight="1" s="85">
      <c r="A640" s="4" t="n"/>
      <c r="B640" s="4" t="n"/>
      <c r="C640" s="4" t="n"/>
      <c r="D640" s="4" t="n"/>
      <c r="E640" s="4" t="n"/>
      <c r="F640" s="4" t="n"/>
      <c r="G640" s="4" t="n"/>
      <c r="H640" s="4" t="n"/>
      <c r="I640" s="4" t="n"/>
    </row>
    <row r="641" ht="15.75" customHeight="1" s="85">
      <c r="A641" s="4" t="n"/>
      <c r="B641" s="4" t="n"/>
      <c r="C641" s="4" t="n"/>
      <c r="D641" s="4" t="n"/>
      <c r="E641" s="4" t="n"/>
      <c r="F641" s="4" t="n"/>
      <c r="G641" s="4" t="n"/>
      <c r="H641" s="4" t="n"/>
      <c r="I641" s="4" t="n"/>
    </row>
    <row r="642" ht="15.75" customHeight="1" s="85">
      <c r="A642" s="4" t="n"/>
      <c r="B642" s="4" t="n"/>
      <c r="C642" s="4" t="n"/>
      <c r="D642" s="4" t="n"/>
      <c r="E642" s="4" t="n"/>
      <c r="F642" s="4" t="n"/>
      <c r="G642" s="4" t="n"/>
      <c r="H642" s="4" t="n"/>
      <c r="I642" s="4" t="n"/>
    </row>
    <row r="643" ht="15.75" customHeight="1" s="85">
      <c r="A643" s="4" t="n"/>
      <c r="B643" s="4" t="n"/>
      <c r="C643" s="4" t="n"/>
      <c r="D643" s="4" t="n"/>
      <c r="E643" s="4" t="n"/>
      <c r="F643" s="4" t="n"/>
      <c r="G643" s="4" t="n"/>
      <c r="H643" s="4" t="n"/>
      <c r="I643" s="4" t="n"/>
    </row>
    <row r="644" ht="15.75" customHeight="1" s="85">
      <c r="A644" s="4" t="n"/>
      <c r="B644" s="4" t="n"/>
      <c r="C644" s="4" t="n"/>
      <c r="D644" s="4" t="n"/>
      <c r="E644" s="4" t="n"/>
      <c r="F644" s="4" t="n"/>
      <c r="G644" s="4" t="n"/>
      <c r="H644" s="4" t="n"/>
      <c r="I644" s="4" t="n"/>
    </row>
    <row r="645" ht="15.75" customHeight="1" s="85">
      <c r="A645" s="4" t="n"/>
      <c r="B645" s="4" t="n"/>
      <c r="C645" s="4" t="n"/>
      <c r="D645" s="4" t="n"/>
      <c r="E645" s="4" t="n"/>
      <c r="F645" s="4" t="n"/>
      <c r="G645" s="4" t="n"/>
      <c r="H645" s="4" t="n"/>
      <c r="I645" s="4" t="n"/>
    </row>
    <row r="646" ht="15.75" customHeight="1" s="85">
      <c r="A646" s="4" t="n"/>
      <c r="B646" s="4" t="n"/>
      <c r="C646" s="4" t="n"/>
      <c r="D646" s="4" t="n"/>
      <c r="E646" s="4" t="n"/>
      <c r="F646" s="4" t="n"/>
      <c r="G646" s="4" t="n"/>
      <c r="H646" s="4" t="n"/>
      <c r="I646" s="4" t="n"/>
    </row>
    <row r="647" ht="15.75" customHeight="1" s="85">
      <c r="A647" s="4" t="n"/>
      <c r="B647" s="4" t="n"/>
      <c r="C647" s="4" t="n"/>
      <c r="D647" s="4" t="n"/>
      <c r="E647" s="4" t="n"/>
      <c r="F647" s="4" t="n"/>
      <c r="G647" s="4" t="n"/>
      <c r="H647" s="4" t="n"/>
      <c r="I647" s="4" t="n"/>
    </row>
    <row r="648" ht="15.75" customHeight="1" s="85">
      <c r="A648" s="4" t="n"/>
      <c r="B648" s="4" t="n"/>
      <c r="C648" s="4" t="n"/>
      <c r="D648" s="4" t="n"/>
      <c r="E648" s="4" t="n"/>
      <c r="F648" s="4" t="n"/>
      <c r="G648" s="4" t="n"/>
      <c r="H648" s="4" t="n"/>
      <c r="I648" s="4" t="n"/>
    </row>
    <row r="649" ht="15.75" customHeight="1" s="85">
      <c r="A649" s="4" t="n"/>
      <c r="B649" s="4" t="n"/>
      <c r="C649" s="4" t="n"/>
      <c r="D649" s="4" t="n"/>
      <c r="E649" s="4" t="n"/>
      <c r="F649" s="4" t="n"/>
      <c r="G649" s="4" t="n"/>
      <c r="H649" s="4" t="n"/>
      <c r="I649" s="4" t="n"/>
    </row>
    <row r="650" ht="15.75" customHeight="1" s="85">
      <c r="A650" s="4" t="n"/>
      <c r="B650" s="4" t="n"/>
      <c r="C650" s="4" t="n"/>
      <c r="D650" s="4" t="n"/>
      <c r="E650" s="4" t="n"/>
      <c r="F650" s="4" t="n"/>
      <c r="G650" s="4" t="n"/>
      <c r="H650" s="4" t="n"/>
      <c r="I650" s="4" t="n"/>
    </row>
    <row r="651" ht="15.75" customHeight="1" s="85">
      <c r="A651" s="4" t="n"/>
      <c r="B651" s="4" t="n"/>
      <c r="C651" s="4" t="n"/>
      <c r="D651" s="4" t="n"/>
      <c r="E651" s="4" t="n"/>
      <c r="F651" s="4" t="n"/>
      <c r="G651" s="4" t="n"/>
      <c r="H651" s="4" t="n"/>
      <c r="I651" s="4" t="n"/>
    </row>
    <row r="652" ht="15.75" customHeight="1" s="85">
      <c r="A652" s="4" t="n"/>
      <c r="B652" s="4" t="n"/>
      <c r="C652" s="4" t="n"/>
      <c r="D652" s="4" t="n"/>
      <c r="E652" s="4" t="n"/>
      <c r="F652" s="4" t="n"/>
      <c r="G652" s="4" t="n"/>
      <c r="H652" s="4" t="n"/>
      <c r="I652" s="4" t="n"/>
    </row>
    <row r="653" ht="15.75" customHeight="1" s="85">
      <c r="A653" s="4" t="n"/>
      <c r="B653" s="4" t="n"/>
      <c r="C653" s="4" t="n"/>
      <c r="D653" s="4" t="n"/>
      <c r="E653" s="4" t="n"/>
      <c r="F653" s="4" t="n"/>
      <c r="G653" s="4" t="n"/>
      <c r="H653" s="4" t="n"/>
      <c r="I653" s="4" t="n"/>
    </row>
    <row r="654" ht="15.75" customHeight="1" s="85">
      <c r="A654" s="4" t="n"/>
      <c r="B654" s="4" t="n"/>
      <c r="C654" s="4" t="n"/>
      <c r="D654" s="4" t="n"/>
      <c r="E654" s="4" t="n"/>
      <c r="F654" s="4" t="n"/>
      <c r="G654" s="4" t="n"/>
      <c r="H654" s="4" t="n"/>
      <c r="I654" s="4" t="n"/>
    </row>
    <row r="655" ht="15.75" customHeight="1" s="85">
      <c r="A655" s="4" t="n"/>
      <c r="B655" s="4" t="n"/>
      <c r="C655" s="4" t="n"/>
      <c r="D655" s="4" t="n"/>
      <c r="E655" s="4" t="n"/>
      <c r="F655" s="4" t="n"/>
      <c r="G655" s="4" t="n"/>
      <c r="H655" s="4" t="n"/>
      <c r="I655" s="4" t="n"/>
    </row>
    <row r="656" ht="15.75" customHeight="1" s="85">
      <c r="A656" s="4" t="n"/>
      <c r="B656" s="4" t="n"/>
      <c r="C656" s="4" t="n"/>
      <c r="D656" s="4" t="n"/>
      <c r="E656" s="4" t="n"/>
      <c r="F656" s="4" t="n"/>
      <c r="G656" s="4" t="n"/>
      <c r="H656" s="4" t="n"/>
      <c r="I656" s="4" t="n"/>
    </row>
    <row r="657" ht="15.75" customHeight="1" s="85">
      <c r="A657" s="4" t="n"/>
      <c r="B657" s="4" t="n"/>
      <c r="C657" s="4" t="n"/>
      <c r="D657" s="4" t="n"/>
      <c r="E657" s="4" t="n"/>
      <c r="F657" s="4" t="n"/>
      <c r="G657" s="4" t="n"/>
      <c r="H657" s="4" t="n"/>
      <c r="I657" s="4" t="n"/>
    </row>
    <row r="658" ht="15.75" customHeight="1" s="85">
      <c r="A658" s="4" t="n"/>
      <c r="B658" s="4" t="n"/>
      <c r="C658" s="4" t="n"/>
      <c r="D658" s="4" t="n"/>
      <c r="E658" s="4" t="n"/>
      <c r="F658" s="4" t="n"/>
      <c r="G658" s="4" t="n"/>
      <c r="H658" s="4" t="n"/>
      <c r="I658" s="4" t="n"/>
    </row>
    <row r="659" ht="15.75" customHeight="1" s="85">
      <c r="A659" s="4" t="n"/>
      <c r="B659" s="4" t="n"/>
      <c r="C659" s="4" t="n"/>
      <c r="D659" s="4" t="n"/>
      <c r="E659" s="4" t="n"/>
      <c r="F659" s="4" t="n"/>
      <c r="G659" s="4" t="n"/>
      <c r="H659" s="4" t="n"/>
      <c r="I659" s="4" t="n"/>
    </row>
    <row r="660" ht="15.75" customHeight="1" s="85">
      <c r="A660" s="4" t="n"/>
      <c r="B660" s="4" t="n"/>
      <c r="C660" s="4" t="n"/>
      <c r="D660" s="4" t="n"/>
      <c r="E660" s="4" t="n"/>
      <c r="F660" s="4" t="n"/>
      <c r="G660" s="4" t="n"/>
      <c r="H660" s="4" t="n"/>
      <c r="I660" s="4" t="n"/>
    </row>
    <row r="661" ht="15.75" customHeight="1" s="85">
      <c r="A661" s="4" t="n"/>
      <c r="B661" s="4" t="n"/>
      <c r="C661" s="4" t="n"/>
      <c r="D661" s="4" t="n"/>
      <c r="E661" s="4" t="n"/>
      <c r="F661" s="4" t="n"/>
      <c r="G661" s="4" t="n"/>
      <c r="H661" s="4" t="n"/>
      <c r="I661" s="4" t="n"/>
    </row>
    <row r="662" ht="15.75" customHeight="1" s="85">
      <c r="A662" s="4" t="n"/>
      <c r="B662" s="4" t="n"/>
      <c r="C662" s="4" t="n"/>
      <c r="D662" s="4" t="n"/>
      <c r="E662" s="4" t="n"/>
      <c r="F662" s="4" t="n"/>
      <c r="G662" s="4" t="n"/>
      <c r="H662" s="4" t="n"/>
      <c r="I662" s="4" t="n"/>
    </row>
    <row r="663" ht="15.75" customHeight="1" s="85">
      <c r="A663" s="4" t="n"/>
      <c r="B663" s="4" t="n"/>
      <c r="C663" s="4" t="n"/>
      <c r="D663" s="4" t="n"/>
      <c r="E663" s="4" t="n"/>
      <c r="F663" s="4" t="n"/>
      <c r="G663" s="4" t="n"/>
      <c r="H663" s="4" t="n"/>
      <c r="I663" s="4" t="n"/>
    </row>
    <row r="664" ht="15.75" customHeight="1" s="85">
      <c r="A664" s="4" t="n"/>
      <c r="B664" s="4" t="n"/>
      <c r="C664" s="4" t="n"/>
      <c r="D664" s="4" t="n"/>
      <c r="E664" s="4" t="n"/>
      <c r="F664" s="4" t="n"/>
      <c r="G664" s="4" t="n"/>
      <c r="H664" s="4" t="n"/>
      <c r="I664" s="4" t="n"/>
    </row>
    <row r="665" ht="15.75" customHeight="1" s="85">
      <c r="A665" s="4" t="n"/>
      <c r="B665" s="4" t="n"/>
      <c r="C665" s="4" t="n"/>
      <c r="D665" s="4" t="n"/>
      <c r="E665" s="4" t="n"/>
      <c r="F665" s="4" t="n"/>
      <c r="G665" s="4" t="n"/>
      <c r="H665" s="4" t="n"/>
      <c r="I665" s="4" t="n"/>
    </row>
    <row r="666" ht="15.75" customHeight="1" s="85">
      <c r="A666" s="4" t="n"/>
      <c r="B666" s="4" t="n"/>
      <c r="C666" s="4" t="n"/>
      <c r="D666" s="4" t="n"/>
      <c r="E666" s="4" t="n"/>
      <c r="F666" s="4" t="n"/>
      <c r="G666" s="4" t="n"/>
      <c r="H666" s="4" t="n"/>
      <c r="I666" s="4" t="n"/>
    </row>
    <row r="667" ht="15.75" customHeight="1" s="85">
      <c r="A667" s="4" t="n"/>
      <c r="B667" s="4" t="n"/>
      <c r="C667" s="4" t="n"/>
      <c r="D667" s="4" t="n"/>
      <c r="E667" s="4" t="n"/>
      <c r="F667" s="4" t="n"/>
      <c r="G667" s="4" t="n"/>
      <c r="H667" s="4" t="n"/>
      <c r="I667" s="4" t="n"/>
    </row>
    <row r="668" ht="15.75" customHeight="1" s="85">
      <c r="A668" s="4" t="n"/>
      <c r="B668" s="4" t="n"/>
      <c r="C668" s="4" t="n"/>
      <c r="D668" s="4" t="n"/>
      <c r="E668" s="4" t="n"/>
      <c r="F668" s="4" t="n"/>
      <c r="G668" s="4" t="n"/>
      <c r="H668" s="4" t="n"/>
      <c r="I668" s="4" t="n"/>
    </row>
    <row r="669" ht="15.75" customHeight="1" s="85">
      <c r="A669" s="4" t="n"/>
      <c r="B669" s="4" t="n"/>
      <c r="C669" s="4" t="n"/>
      <c r="D669" s="4" t="n"/>
      <c r="E669" s="4" t="n"/>
      <c r="F669" s="4" t="n"/>
      <c r="G669" s="4" t="n"/>
      <c r="H669" s="4" t="n"/>
      <c r="I669" s="4" t="n"/>
    </row>
    <row r="670" ht="15.75" customHeight="1" s="85">
      <c r="A670" s="4" t="n"/>
      <c r="B670" s="4" t="n"/>
      <c r="C670" s="4" t="n"/>
      <c r="D670" s="4" t="n"/>
      <c r="E670" s="4" t="n"/>
      <c r="F670" s="4" t="n"/>
      <c r="G670" s="4" t="n"/>
      <c r="H670" s="4" t="n"/>
      <c r="I670" s="4" t="n"/>
    </row>
    <row r="671" ht="15.75" customHeight="1" s="85">
      <c r="A671" s="4" t="n"/>
      <c r="B671" s="4" t="n"/>
      <c r="C671" s="4" t="n"/>
      <c r="D671" s="4" t="n"/>
      <c r="E671" s="4" t="n"/>
      <c r="F671" s="4" t="n"/>
      <c r="G671" s="4" t="n"/>
      <c r="H671" s="4" t="n"/>
      <c r="I671" s="4" t="n"/>
    </row>
    <row r="672" ht="15.75" customHeight="1" s="85">
      <c r="A672" s="4" t="n"/>
      <c r="B672" s="4" t="n"/>
      <c r="C672" s="4" t="n"/>
      <c r="D672" s="4" t="n"/>
      <c r="E672" s="4" t="n"/>
      <c r="F672" s="4" t="n"/>
      <c r="G672" s="4" t="n"/>
      <c r="H672" s="4" t="n"/>
      <c r="I672" s="4" t="n"/>
    </row>
    <row r="673" ht="15.75" customHeight="1" s="85">
      <c r="A673" s="4" t="n"/>
      <c r="B673" s="4" t="n"/>
      <c r="C673" s="4" t="n"/>
      <c r="D673" s="4" t="n"/>
      <c r="E673" s="4" t="n"/>
      <c r="F673" s="4" t="n"/>
      <c r="G673" s="4" t="n"/>
      <c r="H673" s="4" t="n"/>
      <c r="I673" s="4" t="n"/>
    </row>
    <row r="674" ht="15.75" customHeight="1" s="85">
      <c r="A674" s="4" t="n"/>
      <c r="B674" s="4" t="n"/>
      <c r="C674" s="4" t="n"/>
      <c r="D674" s="4" t="n"/>
      <c r="E674" s="4" t="n"/>
      <c r="F674" s="4" t="n"/>
      <c r="G674" s="4" t="n"/>
      <c r="H674" s="4" t="n"/>
      <c r="I674" s="4" t="n"/>
    </row>
    <row r="675" ht="15.75" customHeight="1" s="85">
      <c r="A675" s="4" t="n"/>
      <c r="B675" s="4" t="n"/>
      <c r="C675" s="4" t="n"/>
      <c r="D675" s="4" t="n"/>
      <c r="E675" s="4" t="n"/>
      <c r="F675" s="4" t="n"/>
      <c r="G675" s="4" t="n"/>
      <c r="H675" s="4" t="n"/>
      <c r="I675" s="4" t="n"/>
    </row>
    <row r="676" ht="15.75" customHeight="1" s="85">
      <c r="A676" s="4" t="n"/>
      <c r="B676" s="4" t="n"/>
      <c r="C676" s="4" t="n"/>
      <c r="D676" s="4" t="n"/>
      <c r="E676" s="4" t="n"/>
      <c r="F676" s="4" t="n"/>
      <c r="G676" s="4" t="n"/>
      <c r="H676" s="4" t="n"/>
      <c r="I676" s="4" t="n"/>
    </row>
    <row r="677" ht="15.75" customHeight="1" s="85">
      <c r="A677" s="4" t="n"/>
      <c r="B677" s="4" t="n"/>
      <c r="C677" s="4" t="n"/>
      <c r="D677" s="4" t="n"/>
      <c r="E677" s="4" t="n"/>
      <c r="F677" s="4" t="n"/>
      <c r="G677" s="4" t="n"/>
      <c r="H677" s="4" t="n"/>
      <c r="I677" s="4" t="n"/>
    </row>
    <row r="678" ht="15.75" customHeight="1" s="85">
      <c r="A678" s="4" t="n"/>
      <c r="B678" s="4" t="n"/>
      <c r="C678" s="4" t="n"/>
      <c r="D678" s="4" t="n"/>
      <c r="E678" s="4" t="n"/>
      <c r="F678" s="4" t="n"/>
      <c r="G678" s="4" t="n"/>
      <c r="H678" s="4" t="n"/>
      <c r="I678" s="4" t="n"/>
    </row>
    <row r="679" ht="15.75" customHeight="1" s="85">
      <c r="A679" s="4" t="n"/>
      <c r="B679" s="4" t="n"/>
      <c r="C679" s="4" t="n"/>
      <c r="D679" s="4" t="n"/>
      <c r="E679" s="4" t="n"/>
      <c r="F679" s="4" t="n"/>
      <c r="G679" s="4" t="n"/>
      <c r="H679" s="4" t="n"/>
      <c r="I679" s="4" t="n"/>
    </row>
    <row r="680" ht="15.75" customHeight="1" s="85">
      <c r="A680" s="4" t="n"/>
      <c r="B680" s="4" t="n"/>
      <c r="C680" s="4" t="n"/>
      <c r="D680" s="4" t="n"/>
      <c r="E680" s="4" t="n"/>
      <c r="F680" s="4" t="n"/>
      <c r="G680" s="4" t="n"/>
      <c r="H680" s="4" t="n"/>
      <c r="I680" s="4" t="n"/>
    </row>
    <row r="681" ht="15.75" customHeight="1" s="85">
      <c r="A681" s="4" t="n"/>
      <c r="B681" s="4" t="n"/>
      <c r="C681" s="4" t="n"/>
      <c r="D681" s="4" t="n"/>
      <c r="E681" s="4" t="n"/>
      <c r="F681" s="4" t="n"/>
      <c r="G681" s="4" t="n"/>
      <c r="H681" s="4" t="n"/>
      <c r="I681" s="4" t="n"/>
    </row>
    <row r="682" ht="15.75" customHeight="1" s="85">
      <c r="A682" s="4" t="n"/>
      <c r="B682" s="4" t="n"/>
      <c r="C682" s="4" t="n"/>
      <c r="D682" s="4" t="n"/>
      <c r="E682" s="4" t="n"/>
      <c r="F682" s="4" t="n"/>
      <c r="G682" s="4" t="n"/>
      <c r="H682" s="4" t="n"/>
      <c r="I682" s="4" t="n"/>
    </row>
    <row r="683" ht="15.75" customHeight="1" s="85">
      <c r="A683" s="4" t="n"/>
      <c r="B683" s="4" t="n"/>
      <c r="C683" s="4" t="n"/>
      <c r="D683" s="4" t="n"/>
      <c r="E683" s="4" t="n"/>
      <c r="F683" s="4" t="n"/>
      <c r="G683" s="4" t="n"/>
      <c r="H683" s="4" t="n"/>
      <c r="I683" s="4" t="n"/>
    </row>
    <row r="684" ht="15.75" customHeight="1" s="85">
      <c r="A684" s="4" t="n"/>
      <c r="B684" s="4" t="n"/>
      <c r="C684" s="4" t="n"/>
      <c r="D684" s="4" t="n"/>
      <c r="E684" s="4" t="n"/>
      <c r="F684" s="4" t="n"/>
      <c r="G684" s="4" t="n"/>
      <c r="H684" s="4" t="n"/>
      <c r="I684" s="4" t="n"/>
    </row>
    <row r="685" ht="15.75" customHeight="1" s="85">
      <c r="A685" s="4" t="n"/>
      <c r="B685" s="4" t="n"/>
      <c r="C685" s="4" t="n"/>
      <c r="D685" s="4" t="n"/>
      <c r="E685" s="4" t="n"/>
      <c r="F685" s="4" t="n"/>
      <c r="G685" s="4" t="n"/>
      <c r="H685" s="4" t="n"/>
      <c r="I685" s="4" t="n"/>
    </row>
    <row r="686" ht="15.75" customHeight="1" s="85">
      <c r="A686" s="4" t="n"/>
      <c r="B686" s="4" t="n"/>
      <c r="C686" s="4" t="n"/>
      <c r="D686" s="4" t="n"/>
      <c r="E686" s="4" t="n"/>
      <c r="F686" s="4" t="n"/>
      <c r="G686" s="4" t="n"/>
      <c r="H686" s="4" t="n"/>
      <c r="I686" s="4" t="n"/>
    </row>
    <row r="687" ht="15.75" customHeight="1" s="85">
      <c r="A687" s="4" t="n"/>
      <c r="B687" s="4" t="n"/>
      <c r="C687" s="4" t="n"/>
      <c r="D687" s="4" t="n"/>
      <c r="E687" s="4" t="n"/>
      <c r="F687" s="4" t="n"/>
      <c r="G687" s="4" t="n"/>
      <c r="H687" s="4" t="n"/>
      <c r="I687" s="4" t="n"/>
    </row>
    <row r="688" ht="15.75" customHeight="1" s="85">
      <c r="A688" s="4" t="n"/>
      <c r="B688" s="4" t="n"/>
      <c r="C688" s="4" t="n"/>
      <c r="D688" s="4" t="n"/>
      <c r="E688" s="4" t="n"/>
      <c r="F688" s="4" t="n"/>
      <c r="G688" s="4" t="n"/>
      <c r="H688" s="4" t="n"/>
      <c r="I688" s="4" t="n"/>
    </row>
    <row r="689" ht="15.75" customHeight="1" s="85">
      <c r="A689" s="4" t="n"/>
      <c r="B689" s="4" t="n"/>
      <c r="C689" s="4" t="n"/>
      <c r="D689" s="4" t="n"/>
      <c r="E689" s="4" t="n"/>
      <c r="F689" s="4" t="n"/>
      <c r="G689" s="4" t="n"/>
      <c r="H689" s="4" t="n"/>
      <c r="I689" s="4" t="n"/>
    </row>
    <row r="690" ht="15.75" customHeight="1" s="85">
      <c r="A690" s="4" t="n"/>
      <c r="B690" s="4" t="n"/>
      <c r="C690" s="4" t="n"/>
      <c r="D690" s="4" t="n"/>
      <c r="E690" s="4" t="n"/>
      <c r="F690" s="4" t="n"/>
      <c r="G690" s="4" t="n"/>
      <c r="H690" s="4" t="n"/>
      <c r="I690" s="4" t="n"/>
    </row>
    <row r="691" ht="15.75" customHeight="1" s="85">
      <c r="A691" s="4" t="n"/>
      <c r="B691" s="4" t="n"/>
      <c r="C691" s="4" t="n"/>
      <c r="D691" s="4" t="n"/>
      <c r="E691" s="4" t="n"/>
      <c r="F691" s="4" t="n"/>
      <c r="G691" s="4" t="n"/>
      <c r="H691" s="4" t="n"/>
      <c r="I691" s="4" t="n"/>
    </row>
    <row r="692" ht="15.75" customHeight="1" s="85">
      <c r="A692" s="4" t="n"/>
      <c r="B692" s="4" t="n"/>
      <c r="C692" s="4" t="n"/>
      <c r="D692" s="4" t="n"/>
      <c r="E692" s="4" t="n"/>
      <c r="F692" s="4" t="n"/>
      <c r="G692" s="4" t="n"/>
      <c r="H692" s="4" t="n"/>
      <c r="I692" s="4" t="n"/>
    </row>
    <row r="693" ht="15.75" customHeight="1" s="85">
      <c r="A693" s="4" t="n"/>
      <c r="B693" s="4" t="n"/>
      <c r="C693" s="4" t="n"/>
      <c r="D693" s="4" t="n"/>
      <c r="E693" s="4" t="n"/>
      <c r="F693" s="4" t="n"/>
      <c r="G693" s="4" t="n"/>
      <c r="H693" s="4" t="n"/>
      <c r="I693" s="4" t="n"/>
    </row>
    <row r="694" ht="15.75" customHeight="1" s="85">
      <c r="A694" s="4" t="n"/>
      <c r="B694" s="4" t="n"/>
      <c r="C694" s="4" t="n"/>
      <c r="D694" s="4" t="n"/>
      <c r="E694" s="4" t="n"/>
      <c r="F694" s="4" t="n"/>
      <c r="G694" s="4" t="n"/>
      <c r="H694" s="4" t="n"/>
      <c r="I694" s="4" t="n"/>
    </row>
    <row r="695" ht="15.75" customHeight="1" s="85">
      <c r="A695" s="4" t="n"/>
      <c r="B695" s="4" t="n"/>
      <c r="C695" s="4" t="n"/>
      <c r="D695" s="4" t="n"/>
      <c r="E695" s="4" t="n"/>
      <c r="F695" s="4" t="n"/>
      <c r="G695" s="4" t="n"/>
      <c r="H695" s="4" t="n"/>
      <c r="I695" s="4" t="n"/>
    </row>
    <row r="696" ht="15.75" customHeight="1" s="85">
      <c r="A696" s="4" t="n"/>
      <c r="B696" s="4" t="n"/>
      <c r="C696" s="4" t="n"/>
      <c r="D696" s="4" t="n"/>
      <c r="E696" s="4" t="n"/>
      <c r="F696" s="4" t="n"/>
      <c r="G696" s="4" t="n"/>
      <c r="H696" s="4" t="n"/>
      <c r="I696" s="4" t="n"/>
    </row>
    <row r="697" ht="15.75" customHeight="1" s="85">
      <c r="A697" s="4" t="n"/>
      <c r="B697" s="4" t="n"/>
      <c r="C697" s="4" t="n"/>
      <c r="D697" s="4" t="n"/>
      <c r="E697" s="4" t="n"/>
      <c r="F697" s="4" t="n"/>
      <c r="G697" s="4" t="n"/>
      <c r="H697" s="4" t="n"/>
      <c r="I697" s="4" t="n"/>
    </row>
    <row r="698" ht="15.75" customHeight="1" s="85">
      <c r="A698" s="4" t="n"/>
      <c r="B698" s="4" t="n"/>
      <c r="C698" s="4" t="n"/>
      <c r="D698" s="4" t="n"/>
      <c r="E698" s="4" t="n"/>
      <c r="F698" s="4" t="n"/>
      <c r="G698" s="4" t="n"/>
      <c r="H698" s="4" t="n"/>
      <c r="I698" s="4" t="n"/>
    </row>
    <row r="699" ht="15.75" customHeight="1" s="85">
      <c r="A699" s="4" t="n"/>
      <c r="B699" s="4" t="n"/>
      <c r="C699" s="4" t="n"/>
      <c r="D699" s="4" t="n"/>
      <c r="E699" s="4" t="n"/>
      <c r="F699" s="4" t="n"/>
      <c r="G699" s="4" t="n"/>
      <c r="H699" s="4" t="n"/>
      <c r="I699" s="4" t="n"/>
    </row>
    <row r="700" ht="15.75" customHeight="1" s="85">
      <c r="A700" s="4" t="n"/>
      <c r="B700" s="4" t="n"/>
      <c r="C700" s="4" t="n"/>
      <c r="D700" s="4" t="n"/>
      <c r="E700" s="4" t="n"/>
      <c r="F700" s="4" t="n"/>
      <c r="G700" s="4" t="n"/>
      <c r="H700" s="4" t="n"/>
      <c r="I700" s="4" t="n"/>
    </row>
    <row r="701" ht="15.75" customHeight="1" s="85">
      <c r="A701" s="4" t="n"/>
      <c r="B701" s="4" t="n"/>
      <c r="C701" s="4" t="n"/>
      <c r="D701" s="4" t="n"/>
      <c r="E701" s="4" t="n"/>
      <c r="F701" s="4" t="n"/>
      <c r="G701" s="4" t="n"/>
      <c r="H701" s="4" t="n"/>
      <c r="I701" s="4" t="n"/>
    </row>
    <row r="702" ht="15.75" customHeight="1" s="85">
      <c r="A702" s="4" t="n"/>
      <c r="B702" s="4" t="n"/>
      <c r="C702" s="4" t="n"/>
      <c r="D702" s="4" t="n"/>
      <c r="E702" s="4" t="n"/>
      <c r="F702" s="4" t="n"/>
      <c r="G702" s="4" t="n"/>
      <c r="H702" s="4" t="n"/>
      <c r="I702" s="4" t="n"/>
    </row>
    <row r="703" ht="15.75" customHeight="1" s="85">
      <c r="A703" s="4" t="n"/>
      <c r="B703" s="4" t="n"/>
      <c r="C703" s="4" t="n"/>
      <c r="D703" s="4" t="n"/>
      <c r="E703" s="4" t="n"/>
      <c r="F703" s="4" t="n"/>
      <c r="G703" s="4" t="n"/>
      <c r="H703" s="4" t="n"/>
      <c r="I703" s="4" t="n"/>
    </row>
    <row r="704" ht="15.75" customHeight="1" s="85">
      <c r="A704" s="4" t="n"/>
      <c r="B704" s="4" t="n"/>
      <c r="C704" s="4" t="n"/>
      <c r="D704" s="4" t="n"/>
      <c r="E704" s="4" t="n"/>
      <c r="F704" s="4" t="n"/>
      <c r="G704" s="4" t="n"/>
      <c r="H704" s="4" t="n"/>
      <c r="I704" s="4" t="n"/>
    </row>
    <row r="705" ht="15.75" customHeight="1" s="85">
      <c r="A705" s="4" t="n"/>
      <c r="B705" s="4" t="n"/>
      <c r="C705" s="4" t="n"/>
      <c r="D705" s="4" t="n"/>
      <c r="E705" s="4" t="n"/>
      <c r="F705" s="4" t="n"/>
      <c r="G705" s="4" t="n"/>
      <c r="H705" s="4" t="n"/>
      <c r="I705" s="4" t="n"/>
    </row>
    <row r="706" ht="15.75" customHeight="1" s="85">
      <c r="A706" s="4" t="n"/>
      <c r="B706" s="4" t="n"/>
      <c r="C706" s="4" t="n"/>
      <c r="D706" s="4" t="n"/>
      <c r="E706" s="4" t="n"/>
      <c r="F706" s="4" t="n"/>
      <c r="G706" s="4" t="n"/>
      <c r="H706" s="4" t="n"/>
      <c r="I706" s="4" t="n"/>
    </row>
    <row r="707" ht="15.75" customHeight="1" s="85">
      <c r="A707" s="4" t="n"/>
      <c r="B707" s="4" t="n"/>
      <c r="C707" s="4" t="n"/>
      <c r="D707" s="4" t="n"/>
      <c r="E707" s="4" t="n"/>
      <c r="F707" s="4" t="n"/>
      <c r="G707" s="4" t="n"/>
      <c r="H707" s="4" t="n"/>
      <c r="I707" s="4" t="n"/>
    </row>
    <row r="708" ht="15.75" customHeight="1" s="85">
      <c r="A708" s="4" t="n"/>
      <c r="B708" s="4" t="n"/>
      <c r="C708" s="4" t="n"/>
      <c r="D708" s="4" t="n"/>
      <c r="E708" s="4" t="n"/>
      <c r="F708" s="4" t="n"/>
      <c r="G708" s="4" t="n"/>
      <c r="H708" s="4" t="n"/>
      <c r="I708" s="4" t="n"/>
    </row>
    <row r="709" ht="15.75" customHeight="1" s="85">
      <c r="A709" s="4" t="n"/>
      <c r="B709" s="4" t="n"/>
      <c r="C709" s="4" t="n"/>
      <c r="D709" s="4" t="n"/>
      <c r="E709" s="4" t="n"/>
      <c r="F709" s="4" t="n"/>
      <c r="G709" s="4" t="n"/>
      <c r="H709" s="4" t="n"/>
      <c r="I709" s="4" t="n"/>
    </row>
    <row r="710" ht="15.75" customHeight="1" s="85">
      <c r="A710" s="4" t="n"/>
      <c r="B710" s="4" t="n"/>
      <c r="C710" s="4" t="n"/>
      <c r="D710" s="4" t="n"/>
      <c r="E710" s="4" t="n"/>
      <c r="F710" s="4" t="n"/>
      <c r="G710" s="4" t="n"/>
      <c r="H710" s="4" t="n"/>
      <c r="I710" s="4" t="n"/>
    </row>
    <row r="711" ht="15.75" customHeight="1" s="85">
      <c r="A711" s="4" t="n"/>
      <c r="B711" s="4" t="n"/>
      <c r="C711" s="4" t="n"/>
      <c r="D711" s="4" t="n"/>
      <c r="E711" s="4" t="n"/>
      <c r="F711" s="4" t="n"/>
      <c r="G711" s="4" t="n"/>
      <c r="H711" s="4" t="n"/>
      <c r="I711" s="4" t="n"/>
    </row>
    <row r="712" ht="15.75" customHeight="1" s="85">
      <c r="A712" s="4" t="n"/>
      <c r="B712" s="4" t="n"/>
      <c r="C712" s="4" t="n"/>
      <c r="D712" s="4" t="n"/>
      <c r="E712" s="4" t="n"/>
      <c r="F712" s="4" t="n"/>
      <c r="G712" s="4" t="n"/>
      <c r="H712" s="4" t="n"/>
      <c r="I712" s="4" t="n"/>
    </row>
    <row r="713" ht="15.75" customHeight="1" s="85">
      <c r="A713" s="4" t="n"/>
      <c r="B713" s="4" t="n"/>
      <c r="C713" s="4" t="n"/>
      <c r="D713" s="4" t="n"/>
      <c r="E713" s="4" t="n"/>
      <c r="F713" s="4" t="n"/>
      <c r="G713" s="4" t="n"/>
      <c r="H713" s="4" t="n"/>
      <c r="I713" s="4" t="n"/>
    </row>
    <row r="714" ht="15.75" customHeight="1" s="85">
      <c r="A714" s="4" t="n"/>
      <c r="B714" s="4" t="n"/>
      <c r="C714" s="4" t="n"/>
      <c r="D714" s="4" t="n"/>
      <c r="E714" s="4" t="n"/>
      <c r="F714" s="4" t="n"/>
      <c r="G714" s="4" t="n"/>
      <c r="H714" s="4" t="n"/>
      <c r="I714" s="4" t="n"/>
    </row>
    <row r="715" ht="15.75" customHeight="1" s="85">
      <c r="A715" s="4" t="n"/>
      <c r="B715" s="4" t="n"/>
      <c r="C715" s="4" t="n"/>
      <c r="D715" s="4" t="n"/>
      <c r="E715" s="4" t="n"/>
      <c r="F715" s="4" t="n"/>
      <c r="G715" s="4" t="n"/>
      <c r="H715" s="4" t="n"/>
      <c r="I715" s="4" t="n"/>
    </row>
    <row r="716" ht="15.75" customHeight="1" s="85">
      <c r="A716" s="4" t="n"/>
      <c r="B716" s="4" t="n"/>
      <c r="C716" s="4" t="n"/>
      <c r="D716" s="4" t="n"/>
      <c r="E716" s="4" t="n"/>
      <c r="F716" s="4" t="n"/>
      <c r="G716" s="4" t="n"/>
      <c r="H716" s="4" t="n"/>
      <c r="I716" s="4" t="n"/>
    </row>
    <row r="717" ht="15.75" customHeight="1" s="85">
      <c r="A717" s="4" t="n"/>
      <c r="B717" s="4" t="n"/>
      <c r="C717" s="4" t="n"/>
      <c r="D717" s="4" t="n"/>
      <c r="E717" s="4" t="n"/>
      <c r="F717" s="4" t="n"/>
      <c r="G717" s="4" t="n"/>
      <c r="H717" s="4" t="n"/>
      <c r="I717" s="4" t="n"/>
    </row>
    <row r="718" ht="15.75" customHeight="1" s="85">
      <c r="A718" s="4" t="n"/>
      <c r="B718" s="4" t="n"/>
      <c r="C718" s="4" t="n"/>
      <c r="D718" s="4" t="n"/>
      <c r="E718" s="4" t="n"/>
      <c r="F718" s="4" t="n"/>
      <c r="G718" s="4" t="n"/>
      <c r="H718" s="4" t="n"/>
      <c r="I718" s="4" t="n"/>
    </row>
    <row r="719" ht="15.75" customHeight="1" s="85">
      <c r="A719" s="4" t="n"/>
      <c r="B719" s="4" t="n"/>
      <c r="C719" s="4" t="n"/>
      <c r="D719" s="4" t="n"/>
      <c r="E719" s="4" t="n"/>
      <c r="F719" s="4" t="n"/>
      <c r="G719" s="4" t="n"/>
      <c r="H719" s="4" t="n"/>
      <c r="I719" s="4" t="n"/>
    </row>
    <row r="720" ht="15.75" customHeight="1" s="85">
      <c r="A720" s="4" t="n"/>
      <c r="B720" s="4" t="n"/>
      <c r="C720" s="4" t="n"/>
      <c r="D720" s="4" t="n"/>
      <c r="E720" s="4" t="n"/>
      <c r="F720" s="4" t="n"/>
      <c r="G720" s="4" t="n"/>
      <c r="H720" s="4" t="n"/>
      <c r="I720" s="4" t="n"/>
    </row>
    <row r="721" ht="15.75" customHeight="1" s="85">
      <c r="A721" s="4" t="n"/>
      <c r="B721" s="4" t="n"/>
      <c r="C721" s="4" t="n"/>
      <c r="D721" s="4" t="n"/>
      <c r="E721" s="4" t="n"/>
      <c r="F721" s="4" t="n"/>
      <c r="G721" s="4" t="n"/>
      <c r="H721" s="4" t="n"/>
      <c r="I721" s="4" t="n"/>
    </row>
    <row r="722" ht="15.75" customHeight="1" s="85">
      <c r="A722" s="4" t="n"/>
      <c r="B722" s="4" t="n"/>
      <c r="C722" s="4" t="n"/>
      <c r="D722" s="4" t="n"/>
      <c r="E722" s="4" t="n"/>
      <c r="F722" s="4" t="n"/>
      <c r="G722" s="4" t="n"/>
      <c r="H722" s="4" t="n"/>
      <c r="I722" s="4" t="n"/>
    </row>
    <row r="723" ht="15.75" customHeight="1" s="85">
      <c r="A723" s="4" t="n"/>
      <c r="B723" s="4" t="n"/>
      <c r="C723" s="4" t="n"/>
      <c r="D723" s="4" t="n"/>
      <c r="E723" s="4" t="n"/>
      <c r="F723" s="4" t="n"/>
      <c r="G723" s="4" t="n"/>
      <c r="H723" s="4" t="n"/>
      <c r="I723" s="4" t="n"/>
    </row>
    <row r="724" ht="15.75" customHeight="1" s="85">
      <c r="A724" s="4" t="n"/>
      <c r="B724" s="4" t="n"/>
      <c r="C724" s="4" t="n"/>
      <c r="D724" s="4" t="n"/>
      <c r="E724" s="4" t="n"/>
      <c r="F724" s="4" t="n"/>
      <c r="G724" s="4" t="n"/>
      <c r="H724" s="4" t="n"/>
      <c r="I724" s="4" t="n"/>
    </row>
    <row r="725" ht="15.75" customHeight="1" s="85">
      <c r="A725" s="4" t="n"/>
      <c r="B725" s="4" t="n"/>
      <c r="C725" s="4" t="n"/>
      <c r="D725" s="4" t="n"/>
      <c r="E725" s="4" t="n"/>
      <c r="F725" s="4" t="n"/>
      <c r="G725" s="4" t="n"/>
      <c r="H725" s="4" t="n"/>
      <c r="I725" s="4" t="n"/>
    </row>
    <row r="726" ht="15.75" customHeight="1" s="85">
      <c r="A726" s="4" t="n"/>
      <c r="B726" s="4" t="n"/>
      <c r="C726" s="4" t="n"/>
      <c r="D726" s="4" t="n"/>
      <c r="E726" s="4" t="n"/>
      <c r="F726" s="4" t="n"/>
      <c r="G726" s="4" t="n"/>
      <c r="H726" s="4" t="n"/>
      <c r="I726" s="4" t="n"/>
    </row>
    <row r="727" ht="15.75" customHeight="1" s="85">
      <c r="A727" s="4" t="n"/>
      <c r="B727" s="4" t="n"/>
      <c r="C727" s="4" t="n"/>
      <c r="D727" s="4" t="n"/>
      <c r="E727" s="4" t="n"/>
      <c r="F727" s="4" t="n"/>
      <c r="G727" s="4" t="n"/>
      <c r="H727" s="4" t="n"/>
      <c r="I727" s="4" t="n"/>
    </row>
    <row r="728" ht="15.75" customHeight="1" s="85">
      <c r="A728" s="4" t="n"/>
      <c r="B728" s="4" t="n"/>
      <c r="C728" s="4" t="n"/>
      <c r="D728" s="4" t="n"/>
      <c r="E728" s="4" t="n"/>
      <c r="F728" s="4" t="n"/>
      <c r="G728" s="4" t="n"/>
      <c r="H728" s="4" t="n"/>
      <c r="I728" s="4" t="n"/>
    </row>
    <row r="729" ht="15.75" customHeight="1" s="85">
      <c r="A729" s="4" t="n"/>
      <c r="B729" s="4" t="n"/>
      <c r="C729" s="4" t="n"/>
      <c r="D729" s="4" t="n"/>
      <c r="E729" s="4" t="n"/>
      <c r="F729" s="4" t="n"/>
      <c r="G729" s="4" t="n"/>
      <c r="H729" s="4" t="n"/>
      <c r="I729" s="4" t="n"/>
    </row>
    <row r="730" ht="15.75" customHeight="1" s="85">
      <c r="A730" s="4" t="n"/>
      <c r="B730" s="4" t="n"/>
      <c r="C730" s="4" t="n"/>
      <c r="D730" s="4" t="n"/>
      <c r="E730" s="4" t="n"/>
      <c r="F730" s="4" t="n"/>
      <c r="G730" s="4" t="n"/>
      <c r="H730" s="4" t="n"/>
      <c r="I730" s="4" t="n"/>
    </row>
    <row r="731" ht="15.75" customHeight="1" s="85">
      <c r="A731" s="4" t="n"/>
      <c r="B731" s="4" t="n"/>
      <c r="C731" s="4" t="n"/>
      <c r="D731" s="4" t="n"/>
      <c r="E731" s="4" t="n"/>
      <c r="F731" s="4" t="n"/>
      <c r="G731" s="4" t="n"/>
      <c r="H731" s="4" t="n"/>
      <c r="I731" s="4" t="n"/>
    </row>
    <row r="732" ht="15.75" customHeight="1" s="85">
      <c r="A732" s="4" t="n"/>
      <c r="B732" s="4" t="n"/>
      <c r="C732" s="4" t="n"/>
      <c r="D732" s="4" t="n"/>
      <c r="E732" s="4" t="n"/>
      <c r="F732" s="4" t="n"/>
      <c r="G732" s="4" t="n"/>
      <c r="H732" s="4" t="n"/>
      <c r="I732" s="4" t="n"/>
    </row>
    <row r="733" ht="15.75" customHeight="1" s="85">
      <c r="A733" s="4" t="n"/>
      <c r="B733" s="4" t="n"/>
      <c r="C733" s="4" t="n"/>
      <c r="D733" s="4" t="n"/>
      <c r="E733" s="4" t="n"/>
      <c r="F733" s="4" t="n"/>
      <c r="G733" s="4" t="n"/>
      <c r="H733" s="4" t="n"/>
      <c r="I733" s="4" t="n"/>
    </row>
    <row r="734" ht="15.75" customHeight="1" s="85">
      <c r="A734" s="4" t="n"/>
      <c r="B734" s="4" t="n"/>
      <c r="C734" s="4" t="n"/>
      <c r="D734" s="4" t="n"/>
      <c r="E734" s="4" t="n"/>
      <c r="F734" s="4" t="n"/>
      <c r="G734" s="4" t="n"/>
      <c r="H734" s="4" t="n"/>
      <c r="I734" s="4" t="n"/>
    </row>
    <row r="735" ht="15.75" customHeight="1" s="85">
      <c r="A735" s="4" t="n"/>
      <c r="B735" s="4" t="n"/>
      <c r="C735" s="4" t="n"/>
      <c r="D735" s="4" t="n"/>
      <c r="E735" s="4" t="n"/>
      <c r="F735" s="4" t="n"/>
      <c r="G735" s="4" t="n"/>
      <c r="H735" s="4" t="n"/>
      <c r="I735" s="4" t="n"/>
    </row>
    <row r="736" ht="15.75" customHeight="1" s="85">
      <c r="A736" s="4" t="n"/>
      <c r="B736" s="4" t="n"/>
      <c r="C736" s="4" t="n"/>
      <c r="D736" s="4" t="n"/>
      <c r="E736" s="4" t="n"/>
      <c r="F736" s="4" t="n"/>
      <c r="G736" s="4" t="n"/>
      <c r="H736" s="4" t="n"/>
      <c r="I736" s="4" t="n"/>
    </row>
    <row r="737" ht="15.75" customHeight="1" s="85">
      <c r="A737" s="4" t="n"/>
      <c r="B737" s="4" t="n"/>
      <c r="C737" s="4" t="n"/>
      <c r="D737" s="4" t="n"/>
      <c r="E737" s="4" t="n"/>
      <c r="F737" s="4" t="n"/>
      <c r="G737" s="4" t="n"/>
      <c r="H737" s="4" t="n"/>
      <c r="I737" s="4" t="n"/>
    </row>
    <row r="738" ht="15.75" customHeight="1" s="85">
      <c r="A738" s="4" t="n"/>
      <c r="B738" s="4" t="n"/>
      <c r="C738" s="4" t="n"/>
      <c r="D738" s="4" t="n"/>
      <c r="E738" s="4" t="n"/>
      <c r="F738" s="4" t="n"/>
      <c r="G738" s="4" t="n"/>
      <c r="H738" s="4" t="n"/>
      <c r="I738" s="4" t="n"/>
    </row>
    <row r="739" ht="15.75" customHeight="1" s="85">
      <c r="A739" s="4" t="n"/>
      <c r="B739" s="4" t="n"/>
      <c r="C739" s="4" t="n"/>
      <c r="D739" s="4" t="n"/>
      <c r="E739" s="4" t="n"/>
      <c r="F739" s="4" t="n"/>
      <c r="G739" s="4" t="n"/>
      <c r="H739" s="4" t="n"/>
      <c r="I739" s="4" t="n"/>
    </row>
    <row r="740" ht="15.75" customHeight="1" s="85">
      <c r="A740" s="4" t="n"/>
      <c r="B740" s="4" t="n"/>
      <c r="C740" s="4" t="n"/>
      <c r="D740" s="4" t="n"/>
      <c r="E740" s="4" t="n"/>
      <c r="F740" s="4" t="n"/>
      <c r="G740" s="4" t="n"/>
      <c r="H740" s="4" t="n"/>
      <c r="I740" s="4" t="n"/>
    </row>
    <row r="741" ht="15.75" customHeight="1" s="85">
      <c r="A741" s="4" t="n"/>
      <c r="B741" s="4" t="n"/>
      <c r="C741" s="4" t="n"/>
      <c r="D741" s="4" t="n"/>
      <c r="E741" s="4" t="n"/>
      <c r="F741" s="4" t="n"/>
      <c r="G741" s="4" t="n"/>
      <c r="H741" s="4" t="n"/>
      <c r="I741" s="4" t="n"/>
    </row>
    <row r="742" ht="15.75" customHeight="1" s="85">
      <c r="A742" s="4" t="n"/>
      <c r="B742" s="4" t="n"/>
      <c r="C742" s="4" t="n"/>
      <c r="D742" s="4" t="n"/>
      <c r="E742" s="4" t="n"/>
      <c r="F742" s="4" t="n"/>
      <c r="G742" s="4" t="n"/>
      <c r="H742" s="4" t="n"/>
      <c r="I742" s="4" t="n"/>
    </row>
    <row r="743" ht="15.75" customHeight="1" s="85">
      <c r="A743" s="4" t="n"/>
      <c r="B743" s="4" t="n"/>
      <c r="C743" s="4" t="n"/>
      <c r="D743" s="4" t="n"/>
      <c r="E743" s="4" t="n"/>
      <c r="F743" s="4" t="n"/>
      <c r="G743" s="4" t="n"/>
      <c r="H743" s="4" t="n"/>
      <c r="I743" s="4" t="n"/>
    </row>
    <row r="744" ht="15.75" customHeight="1" s="85">
      <c r="A744" s="4" t="n"/>
      <c r="B744" s="4" t="n"/>
      <c r="C744" s="4" t="n"/>
      <c r="D744" s="4" t="n"/>
      <c r="E744" s="4" t="n"/>
      <c r="F744" s="4" t="n"/>
      <c r="G744" s="4" t="n"/>
      <c r="H744" s="4" t="n"/>
      <c r="I744" s="4" t="n"/>
    </row>
    <row r="745" ht="15.75" customHeight="1" s="85">
      <c r="A745" s="4" t="n"/>
      <c r="B745" s="4" t="n"/>
      <c r="C745" s="4" t="n"/>
      <c r="D745" s="4" t="n"/>
      <c r="E745" s="4" t="n"/>
      <c r="F745" s="4" t="n"/>
      <c r="G745" s="4" t="n"/>
      <c r="H745" s="4" t="n"/>
      <c r="I745" s="4" t="n"/>
    </row>
    <row r="746" ht="15.75" customHeight="1" s="85">
      <c r="A746" s="4" t="n"/>
      <c r="B746" s="4" t="n"/>
      <c r="C746" s="4" t="n"/>
      <c r="D746" s="4" t="n"/>
      <c r="E746" s="4" t="n"/>
      <c r="F746" s="4" t="n"/>
      <c r="G746" s="4" t="n"/>
      <c r="H746" s="4" t="n"/>
      <c r="I746" s="4" t="n"/>
    </row>
    <row r="747" ht="15.75" customHeight="1" s="85">
      <c r="A747" s="4" t="n"/>
      <c r="B747" s="4" t="n"/>
      <c r="C747" s="4" t="n"/>
      <c r="D747" s="4" t="n"/>
      <c r="E747" s="4" t="n"/>
      <c r="F747" s="4" t="n"/>
      <c r="G747" s="4" t="n"/>
      <c r="H747" s="4" t="n"/>
      <c r="I747" s="4" t="n"/>
    </row>
    <row r="748" ht="15.75" customHeight="1" s="85">
      <c r="A748" s="4" t="n"/>
      <c r="B748" s="4" t="n"/>
      <c r="C748" s="4" t="n"/>
      <c r="D748" s="4" t="n"/>
      <c r="E748" s="4" t="n"/>
      <c r="F748" s="4" t="n"/>
      <c r="G748" s="4" t="n"/>
      <c r="H748" s="4" t="n"/>
      <c r="I748" s="4" t="n"/>
    </row>
    <row r="749" ht="15.75" customHeight="1" s="85">
      <c r="A749" s="4" t="n"/>
      <c r="B749" s="4" t="n"/>
      <c r="C749" s="4" t="n"/>
      <c r="D749" s="4" t="n"/>
      <c r="E749" s="4" t="n"/>
      <c r="F749" s="4" t="n"/>
      <c r="G749" s="4" t="n"/>
      <c r="H749" s="4" t="n"/>
      <c r="I749" s="4" t="n"/>
    </row>
    <row r="750" ht="15.75" customHeight="1" s="85">
      <c r="A750" s="4" t="n"/>
      <c r="B750" s="4" t="n"/>
      <c r="C750" s="4" t="n"/>
      <c r="D750" s="4" t="n"/>
      <c r="E750" s="4" t="n"/>
      <c r="F750" s="4" t="n"/>
      <c r="G750" s="4" t="n"/>
      <c r="H750" s="4" t="n"/>
      <c r="I750" s="4" t="n"/>
    </row>
    <row r="751" ht="15.75" customHeight="1" s="85">
      <c r="A751" s="4" t="n"/>
      <c r="B751" s="4" t="n"/>
      <c r="C751" s="4" t="n"/>
      <c r="D751" s="4" t="n"/>
      <c r="E751" s="4" t="n"/>
      <c r="F751" s="4" t="n"/>
      <c r="G751" s="4" t="n"/>
      <c r="H751" s="4" t="n"/>
      <c r="I751" s="4" t="n"/>
    </row>
    <row r="752" ht="15.75" customHeight="1" s="85">
      <c r="A752" s="4" t="n"/>
      <c r="B752" s="4" t="n"/>
      <c r="C752" s="4" t="n"/>
      <c r="D752" s="4" t="n"/>
      <c r="E752" s="4" t="n"/>
      <c r="F752" s="4" t="n"/>
      <c r="G752" s="4" t="n"/>
      <c r="H752" s="4" t="n"/>
      <c r="I752" s="4" t="n"/>
    </row>
    <row r="753" ht="15.75" customHeight="1" s="85">
      <c r="A753" s="4" t="n"/>
      <c r="B753" s="4" t="n"/>
      <c r="C753" s="4" t="n"/>
      <c r="D753" s="4" t="n"/>
      <c r="E753" s="4" t="n"/>
      <c r="F753" s="4" t="n"/>
      <c r="G753" s="4" t="n"/>
      <c r="H753" s="4" t="n"/>
      <c r="I753" s="4" t="n"/>
    </row>
    <row r="754" ht="15.75" customHeight="1" s="85">
      <c r="A754" s="4" t="n"/>
      <c r="B754" s="4" t="n"/>
      <c r="C754" s="4" t="n"/>
      <c r="D754" s="4" t="n"/>
      <c r="E754" s="4" t="n"/>
      <c r="F754" s="4" t="n"/>
      <c r="G754" s="4" t="n"/>
      <c r="H754" s="4" t="n"/>
      <c r="I754" s="4" t="n"/>
    </row>
    <row r="755" ht="15.75" customHeight="1" s="85">
      <c r="A755" s="4" t="n"/>
      <c r="B755" s="4" t="n"/>
      <c r="C755" s="4" t="n"/>
      <c r="D755" s="4" t="n"/>
      <c r="E755" s="4" t="n"/>
      <c r="F755" s="4" t="n"/>
      <c r="G755" s="4" t="n"/>
      <c r="H755" s="4" t="n"/>
      <c r="I755" s="4" t="n"/>
    </row>
    <row r="756" ht="15.75" customHeight="1" s="85">
      <c r="A756" s="4" t="n"/>
      <c r="B756" s="4" t="n"/>
      <c r="C756" s="4" t="n"/>
      <c r="D756" s="4" t="n"/>
      <c r="E756" s="4" t="n"/>
      <c r="F756" s="4" t="n"/>
      <c r="G756" s="4" t="n"/>
      <c r="H756" s="4" t="n"/>
      <c r="I756" s="4" t="n"/>
    </row>
    <row r="757" ht="15.75" customHeight="1" s="85">
      <c r="A757" s="4" t="n"/>
      <c r="B757" s="4" t="n"/>
      <c r="C757" s="4" t="n"/>
      <c r="D757" s="4" t="n"/>
      <c r="E757" s="4" t="n"/>
      <c r="F757" s="4" t="n"/>
      <c r="G757" s="4" t="n"/>
      <c r="H757" s="4" t="n"/>
      <c r="I757" s="4" t="n"/>
    </row>
    <row r="758" ht="15.75" customHeight="1" s="85">
      <c r="A758" s="4" t="n"/>
      <c r="B758" s="4" t="n"/>
      <c r="C758" s="4" t="n"/>
      <c r="D758" s="4" t="n"/>
      <c r="E758" s="4" t="n"/>
      <c r="F758" s="4" t="n"/>
      <c r="G758" s="4" t="n"/>
      <c r="H758" s="4" t="n"/>
      <c r="I758" s="4" t="n"/>
    </row>
    <row r="759" ht="15.75" customHeight="1" s="85">
      <c r="A759" s="4" t="n"/>
      <c r="B759" s="4" t="n"/>
      <c r="C759" s="4" t="n"/>
      <c r="D759" s="4" t="n"/>
      <c r="E759" s="4" t="n"/>
      <c r="F759" s="4" t="n"/>
      <c r="G759" s="4" t="n"/>
      <c r="H759" s="4" t="n"/>
      <c r="I759" s="4" t="n"/>
    </row>
    <row r="760" ht="15.75" customHeight="1" s="85">
      <c r="A760" s="4" t="n"/>
      <c r="B760" s="4" t="n"/>
      <c r="C760" s="4" t="n"/>
      <c r="D760" s="4" t="n"/>
      <c r="E760" s="4" t="n"/>
      <c r="F760" s="4" t="n"/>
      <c r="G760" s="4" t="n"/>
      <c r="H760" s="4" t="n"/>
      <c r="I760" s="4" t="n"/>
    </row>
    <row r="761" ht="15.75" customHeight="1" s="85">
      <c r="A761" s="4" t="n"/>
      <c r="B761" s="4" t="n"/>
      <c r="C761" s="4" t="n"/>
      <c r="D761" s="4" t="n"/>
      <c r="E761" s="4" t="n"/>
      <c r="F761" s="4" t="n"/>
      <c r="G761" s="4" t="n"/>
      <c r="H761" s="4" t="n"/>
      <c r="I761" s="4" t="n"/>
    </row>
    <row r="762" ht="15.75" customHeight="1" s="85">
      <c r="A762" s="4" t="n"/>
      <c r="B762" s="4" t="n"/>
      <c r="C762" s="4" t="n"/>
      <c r="D762" s="4" t="n"/>
      <c r="E762" s="4" t="n"/>
      <c r="F762" s="4" t="n"/>
      <c r="G762" s="4" t="n"/>
      <c r="H762" s="4" t="n"/>
      <c r="I762" s="4" t="n"/>
    </row>
    <row r="763" ht="15.75" customHeight="1" s="85">
      <c r="A763" s="4" t="n"/>
      <c r="B763" s="4" t="n"/>
      <c r="C763" s="4" t="n"/>
      <c r="D763" s="4" t="n"/>
      <c r="E763" s="4" t="n"/>
      <c r="F763" s="4" t="n"/>
      <c r="G763" s="4" t="n"/>
      <c r="H763" s="4" t="n"/>
      <c r="I763" s="4" t="n"/>
    </row>
    <row r="764" ht="15.75" customHeight="1" s="85">
      <c r="A764" s="4" t="n"/>
      <c r="B764" s="4" t="n"/>
      <c r="C764" s="4" t="n"/>
      <c r="D764" s="4" t="n"/>
      <c r="E764" s="4" t="n"/>
      <c r="F764" s="4" t="n"/>
      <c r="G764" s="4" t="n"/>
      <c r="H764" s="4" t="n"/>
      <c r="I764" s="4" t="n"/>
    </row>
    <row r="765" ht="15.75" customHeight="1" s="85">
      <c r="A765" s="4" t="n"/>
      <c r="B765" s="4" t="n"/>
      <c r="C765" s="4" t="n"/>
      <c r="D765" s="4" t="n"/>
      <c r="E765" s="4" t="n"/>
      <c r="F765" s="4" t="n"/>
      <c r="G765" s="4" t="n"/>
      <c r="H765" s="4" t="n"/>
      <c r="I765" s="4" t="n"/>
    </row>
    <row r="766" ht="15.75" customHeight="1" s="85">
      <c r="A766" s="4" t="n"/>
      <c r="B766" s="4" t="n"/>
      <c r="C766" s="4" t="n"/>
      <c r="D766" s="4" t="n"/>
      <c r="E766" s="4" t="n"/>
      <c r="F766" s="4" t="n"/>
      <c r="G766" s="4" t="n"/>
      <c r="H766" s="4" t="n"/>
      <c r="I766" s="4" t="n"/>
    </row>
    <row r="767" ht="15.75" customHeight="1" s="85">
      <c r="A767" s="4" t="n"/>
      <c r="B767" s="4" t="n"/>
      <c r="C767" s="4" t="n"/>
      <c r="D767" s="4" t="n"/>
      <c r="E767" s="4" t="n"/>
      <c r="F767" s="4" t="n"/>
      <c r="G767" s="4" t="n"/>
      <c r="H767" s="4" t="n"/>
      <c r="I767" s="4" t="n"/>
    </row>
    <row r="768" ht="15.75" customHeight="1" s="85">
      <c r="A768" s="4" t="n"/>
      <c r="B768" s="4" t="n"/>
      <c r="C768" s="4" t="n"/>
      <c r="D768" s="4" t="n"/>
      <c r="E768" s="4" t="n"/>
      <c r="F768" s="4" t="n"/>
      <c r="G768" s="4" t="n"/>
      <c r="H768" s="4" t="n"/>
      <c r="I768" s="4" t="n"/>
    </row>
    <row r="769" ht="15.75" customHeight="1" s="85">
      <c r="A769" s="4" t="n"/>
      <c r="B769" s="4" t="n"/>
      <c r="C769" s="4" t="n"/>
      <c r="D769" s="4" t="n"/>
      <c r="E769" s="4" t="n"/>
      <c r="F769" s="4" t="n"/>
      <c r="G769" s="4" t="n"/>
      <c r="H769" s="4" t="n"/>
      <c r="I769" s="4" t="n"/>
    </row>
    <row r="770" ht="15.75" customHeight="1" s="85">
      <c r="A770" s="4" t="n"/>
      <c r="B770" s="4" t="n"/>
      <c r="C770" s="4" t="n"/>
      <c r="D770" s="4" t="n"/>
      <c r="E770" s="4" t="n"/>
      <c r="F770" s="4" t="n"/>
      <c r="G770" s="4" t="n"/>
      <c r="H770" s="4" t="n"/>
      <c r="I770" s="4" t="n"/>
    </row>
    <row r="771" ht="15.75" customHeight="1" s="85">
      <c r="A771" s="4" t="n"/>
      <c r="B771" s="4" t="n"/>
      <c r="C771" s="4" t="n"/>
      <c r="D771" s="4" t="n"/>
      <c r="E771" s="4" t="n"/>
      <c r="F771" s="4" t="n"/>
      <c r="G771" s="4" t="n"/>
      <c r="H771" s="4" t="n"/>
      <c r="I771" s="4" t="n"/>
    </row>
    <row r="772" ht="15.75" customHeight="1" s="85">
      <c r="A772" s="4" t="n"/>
      <c r="B772" s="4" t="n"/>
      <c r="C772" s="4" t="n"/>
      <c r="D772" s="4" t="n"/>
      <c r="E772" s="4" t="n"/>
      <c r="F772" s="4" t="n"/>
      <c r="G772" s="4" t="n"/>
      <c r="H772" s="4" t="n"/>
      <c r="I772" s="4" t="n"/>
    </row>
    <row r="773" ht="15.75" customHeight="1" s="85">
      <c r="A773" s="4" t="n"/>
      <c r="B773" s="4" t="n"/>
      <c r="C773" s="4" t="n"/>
      <c r="D773" s="4" t="n"/>
      <c r="E773" s="4" t="n"/>
      <c r="F773" s="4" t="n"/>
      <c r="G773" s="4" t="n"/>
      <c r="H773" s="4" t="n"/>
      <c r="I773" s="4" t="n"/>
    </row>
    <row r="774" ht="15.75" customHeight="1" s="85">
      <c r="A774" s="4" t="n"/>
      <c r="B774" s="4" t="n"/>
      <c r="C774" s="4" t="n"/>
      <c r="D774" s="4" t="n"/>
      <c r="E774" s="4" t="n"/>
      <c r="F774" s="4" t="n"/>
      <c r="G774" s="4" t="n"/>
      <c r="H774" s="4" t="n"/>
      <c r="I774" s="4" t="n"/>
    </row>
    <row r="775" ht="15.75" customHeight="1" s="85">
      <c r="A775" s="4" t="n"/>
      <c r="B775" s="4" t="n"/>
      <c r="C775" s="4" t="n"/>
      <c r="D775" s="4" t="n"/>
      <c r="E775" s="4" t="n"/>
      <c r="F775" s="4" t="n"/>
      <c r="G775" s="4" t="n"/>
      <c r="H775" s="4" t="n"/>
      <c r="I775" s="4" t="n"/>
    </row>
    <row r="776" ht="15.75" customHeight="1" s="85">
      <c r="A776" s="4" t="n"/>
      <c r="B776" s="4" t="n"/>
      <c r="C776" s="4" t="n"/>
      <c r="D776" s="4" t="n"/>
      <c r="E776" s="4" t="n"/>
      <c r="F776" s="4" t="n"/>
      <c r="G776" s="4" t="n"/>
      <c r="H776" s="4" t="n"/>
      <c r="I776" s="4" t="n"/>
    </row>
    <row r="777" ht="15.75" customHeight="1" s="85">
      <c r="A777" s="4" t="n"/>
      <c r="B777" s="4" t="n"/>
      <c r="C777" s="4" t="n"/>
      <c r="D777" s="4" t="n"/>
      <c r="E777" s="4" t="n"/>
      <c r="F777" s="4" t="n"/>
      <c r="G777" s="4" t="n"/>
      <c r="H777" s="4" t="n"/>
      <c r="I777" s="4" t="n"/>
    </row>
    <row r="778" ht="15.75" customHeight="1" s="85">
      <c r="A778" s="4" t="n"/>
      <c r="B778" s="4" t="n"/>
      <c r="C778" s="4" t="n"/>
      <c r="D778" s="4" t="n"/>
      <c r="E778" s="4" t="n"/>
      <c r="F778" s="4" t="n"/>
      <c r="G778" s="4" t="n"/>
      <c r="H778" s="4" t="n"/>
      <c r="I778" s="4" t="n"/>
    </row>
    <row r="779" ht="15.75" customHeight="1" s="85">
      <c r="A779" s="4" t="n"/>
      <c r="B779" s="4" t="n"/>
      <c r="C779" s="4" t="n"/>
      <c r="D779" s="4" t="n"/>
      <c r="E779" s="4" t="n"/>
      <c r="F779" s="4" t="n"/>
      <c r="G779" s="4" t="n"/>
      <c r="H779" s="4" t="n"/>
      <c r="I779" s="4" t="n"/>
    </row>
    <row r="780" ht="15.75" customHeight="1" s="85">
      <c r="A780" s="4" t="n"/>
      <c r="B780" s="4" t="n"/>
      <c r="C780" s="4" t="n"/>
      <c r="D780" s="4" t="n"/>
      <c r="E780" s="4" t="n"/>
      <c r="F780" s="4" t="n"/>
      <c r="G780" s="4" t="n"/>
      <c r="H780" s="4" t="n"/>
      <c r="I780" s="4" t="n"/>
    </row>
    <row r="781" ht="15.75" customHeight="1" s="85">
      <c r="A781" s="4" t="n"/>
      <c r="B781" s="4" t="n"/>
      <c r="C781" s="4" t="n"/>
      <c r="D781" s="4" t="n"/>
      <c r="E781" s="4" t="n"/>
      <c r="F781" s="4" t="n"/>
      <c r="G781" s="4" t="n"/>
      <c r="H781" s="4" t="n"/>
      <c r="I781" s="4" t="n"/>
    </row>
    <row r="782" ht="15.75" customHeight="1" s="85">
      <c r="A782" s="4" t="n"/>
      <c r="B782" s="4" t="n"/>
      <c r="C782" s="4" t="n"/>
      <c r="D782" s="4" t="n"/>
      <c r="E782" s="4" t="n"/>
      <c r="F782" s="4" t="n"/>
      <c r="G782" s="4" t="n"/>
      <c r="H782" s="4" t="n"/>
      <c r="I782" s="4" t="n"/>
    </row>
    <row r="783" ht="15.75" customHeight="1" s="85">
      <c r="A783" s="4" t="n"/>
      <c r="B783" s="4" t="n"/>
      <c r="C783" s="4" t="n"/>
      <c r="D783" s="4" t="n"/>
      <c r="E783" s="4" t="n"/>
      <c r="F783" s="4" t="n"/>
      <c r="G783" s="4" t="n"/>
      <c r="H783" s="4" t="n"/>
      <c r="I783" s="4" t="n"/>
    </row>
    <row r="784" ht="15.75" customHeight="1" s="85">
      <c r="A784" s="4" t="n"/>
      <c r="B784" s="4" t="n"/>
      <c r="C784" s="4" t="n"/>
      <c r="D784" s="4" t="n"/>
      <c r="E784" s="4" t="n"/>
      <c r="F784" s="4" t="n"/>
      <c r="G784" s="4" t="n"/>
      <c r="H784" s="4" t="n"/>
      <c r="I784" s="4" t="n"/>
    </row>
    <row r="785" ht="15.75" customHeight="1" s="85">
      <c r="A785" s="4" t="n"/>
      <c r="B785" s="4" t="n"/>
      <c r="C785" s="4" t="n"/>
      <c r="D785" s="4" t="n"/>
      <c r="E785" s="4" t="n"/>
      <c r="F785" s="4" t="n"/>
      <c r="G785" s="4" t="n"/>
      <c r="H785" s="4" t="n"/>
      <c r="I785" s="4" t="n"/>
    </row>
    <row r="786" ht="15.75" customHeight="1" s="85">
      <c r="A786" s="4" t="n"/>
      <c r="B786" s="4" t="n"/>
      <c r="C786" s="4" t="n"/>
      <c r="D786" s="4" t="n"/>
      <c r="E786" s="4" t="n"/>
      <c r="F786" s="4" t="n"/>
      <c r="G786" s="4" t="n"/>
      <c r="H786" s="4" t="n"/>
      <c r="I786" s="4" t="n"/>
    </row>
    <row r="787" ht="15.75" customHeight="1" s="85">
      <c r="A787" s="4" t="n"/>
      <c r="B787" s="4" t="n"/>
      <c r="C787" s="4" t="n"/>
      <c r="D787" s="4" t="n"/>
      <c r="E787" s="4" t="n"/>
      <c r="F787" s="4" t="n"/>
      <c r="G787" s="4" t="n"/>
      <c r="H787" s="4" t="n"/>
      <c r="I787" s="4" t="n"/>
    </row>
    <row r="788" ht="15.75" customHeight="1" s="85">
      <c r="A788" s="4" t="n"/>
      <c r="B788" s="4" t="n"/>
      <c r="C788" s="4" t="n"/>
      <c r="D788" s="4" t="n"/>
      <c r="E788" s="4" t="n"/>
      <c r="F788" s="4" t="n"/>
      <c r="G788" s="4" t="n"/>
      <c r="H788" s="4" t="n"/>
      <c r="I788" s="4" t="n"/>
    </row>
    <row r="789" ht="15.75" customHeight="1" s="85">
      <c r="A789" s="4" t="n"/>
      <c r="B789" s="4" t="n"/>
      <c r="C789" s="4" t="n"/>
      <c r="D789" s="4" t="n"/>
      <c r="E789" s="4" t="n"/>
      <c r="F789" s="4" t="n"/>
      <c r="G789" s="4" t="n"/>
      <c r="H789" s="4" t="n"/>
      <c r="I789" s="4" t="n"/>
    </row>
    <row r="790" ht="15.75" customHeight="1" s="85">
      <c r="A790" s="4" t="n"/>
      <c r="B790" s="4" t="n"/>
      <c r="C790" s="4" t="n"/>
      <c r="D790" s="4" t="n"/>
      <c r="E790" s="4" t="n"/>
      <c r="F790" s="4" t="n"/>
      <c r="G790" s="4" t="n"/>
      <c r="H790" s="4" t="n"/>
      <c r="I790" s="4" t="n"/>
    </row>
    <row r="791" ht="15.75" customHeight="1" s="85">
      <c r="A791" s="4" t="n"/>
      <c r="B791" s="4" t="n"/>
      <c r="C791" s="4" t="n"/>
      <c r="D791" s="4" t="n"/>
      <c r="E791" s="4" t="n"/>
      <c r="F791" s="4" t="n"/>
      <c r="G791" s="4" t="n"/>
      <c r="H791" s="4" t="n"/>
      <c r="I791" s="4" t="n"/>
    </row>
    <row r="792" ht="15.75" customHeight="1" s="85">
      <c r="A792" s="4" t="n"/>
      <c r="B792" s="4" t="n"/>
      <c r="C792" s="4" t="n"/>
      <c r="D792" s="4" t="n"/>
      <c r="E792" s="4" t="n"/>
      <c r="F792" s="4" t="n"/>
      <c r="G792" s="4" t="n"/>
      <c r="H792" s="4" t="n"/>
      <c r="I792" s="4" t="n"/>
    </row>
    <row r="793" ht="15.75" customHeight="1" s="85">
      <c r="A793" s="4" t="n"/>
      <c r="B793" s="4" t="n"/>
      <c r="C793" s="4" t="n"/>
      <c r="D793" s="4" t="n"/>
      <c r="E793" s="4" t="n"/>
      <c r="F793" s="4" t="n"/>
      <c r="G793" s="4" t="n"/>
      <c r="H793" s="4" t="n"/>
      <c r="I793" s="4" t="n"/>
    </row>
    <row r="794" ht="15.75" customHeight="1" s="85">
      <c r="A794" s="4" t="n"/>
      <c r="B794" s="4" t="n"/>
      <c r="C794" s="4" t="n"/>
      <c r="D794" s="4" t="n"/>
      <c r="E794" s="4" t="n"/>
      <c r="F794" s="4" t="n"/>
      <c r="G794" s="4" t="n"/>
      <c r="H794" s="4" t="n"/>
      <c r="I794" s="4" t="n"/>
    </row>
    <row r="795" ht="15.75" customHeight="1" s="85">
      <c r="A795" s="4" t="n"/>
      <c r="B795" s="4" t="n"/>
      <c r="C795" s="4" t="n"/>
      <c r="D795" s="4" t="n"/>
      <c r="E795" s="4" t="n"/>
      <c r="F795" s="4" t="n"/>
      <c r="G795" s="4" t="n"/>
      <c r="H795" s="4" t="n"/>
      <c r="I795" s="4" t="n"/>
    </row>
    <row r="796" ht="15.75" customHeight="1" s="85">
      <c r="A796" s="4" t="n"/>
      <c r="B796" s="4" t="n"/>
      <c r="C796" s="4" t="n"/>
      <c r="D796" s="4" t="n"/>
      <c r="E796" s="4" t="n"/>
      <c r="F796" s="4" t="n"/>
      <c r="G796" s="4" t="n"/>
      <c r="H796" s="4" t="n"/>
      <c r="I796" s="4" t="n"/>
    </row>
    <row r="797" ht="15.75" customHeight="1" s="85">
      <c r="A797" s="4" t="n"/>
      <c r="B797" s="4" t="n"/>
      <c r="C797" s="4" t="n"/>
      <c r="D797" s="4" t="n"/>
      <c r="E797" s="4" t="n"/>
      <c r="F797" s="4" t="n"/>
      <c r="G797" s="4" t="n"/>
      <c r="H797" s="4" t="n"/>
      <c r="I797" s="4" t="n"/>
    </row>
    <row r="798" ht="15.75" customHeight="1" s="85">
      <c r="A798" s="4" t="n"/>
      <c r="B798" s="4" t="n"/>
      <c r="C798" s="4" t="n"/>
      <c r="D798" s="4" t="n"/>
      <c r="E798" s="4" t="n"/>
      <c r="F798" s="4" t="n"/>
      <c r="G798" s="4" t="n"/>
      <c r="H798" s="4" t="n"/>
      <c r="I798" s="4" t="n"/>
    </row>
    <row r="799" ht="15.75" customHeight="1" s="85">
      <c r="A799" s="4" t="n"/>
      <c r="B799" s="4" t="n"/>
      <c r="C799" s="4" t="n"/>
      <c r="D799" s="4" t="n"/>
      <c r="E799" s="4" t="n"/>
      <c r="F799" s="4" t="n"/>
      <c r="G799" s="4" t="n"/>
      <c r="H799" s="4" t="n"/>
      <c r="I799" s="4" t="n"/>
    </row>
    <row r="800" ht="15.75" customHeight="1" s="85">
      <c r="A800" s="4" t="n"/>
      <c r="B800" s="4" t="n"/>
      <c r="C800" s="4" t="n"/>
      <c r="D800" s="4" t="n"/>
      <c r="E800" s="4" t="n"/>
      <c r="F800" s="4" t="n"/>
      <c r="G800" s="4" t="n"/>
      <c r="H800" s="4" t="n"/>
      <c r="I800" s="4" t="n"/>
    </row>
    <row r="801" ht="15.75" customHeight="1" s="85">
      <c r="A801" s="4" t="n"/>
      <c r="B801" s="4" t="n"/>
      <c r="C801" s="4" t="n"/>
      <c r="D801" s="4" t="n"/>
      <c r="E801" s="4" t="n"/>
      <c r="F801" s="4" t="n"/>
      <c r="G801" s="4" t="n"/>
      <c r="H801" s="4" t="n"/>
      <c r="I801" s="4" t="n"/>
    </row>
    <row r="802" ht="15.75" customHeight="1" s="85">
      <c r="A802" s="4" t="n"/>
      <c r="B802" s="4" t="n"/>
      <c r="C802" s="4" t="n"/>
      <c r="D802" s="4" t="n"/>
      <c r="E802" s="4" t="n"/>
      <c r="F802" s="4" t="n"/>
      <c r="G802" s="4" t="n"/>
      <c r="H802" s="4" t="n"/>
      <c r="I802" s="4" t="n"/>
    </row>
    <row r="803" ht="15.75" customHeight="1" s="85">
      <c r="A803" s="4" t="n"/>
      <c r="B803" s="4" t="n"/>
      <c r="C803" s="4" t="n"/>
      <c r="D803" s="4" t="n"/>
      <c r="E803" s="4" t="n"/>
      <c r="F803" s="4" t="n"/>
      <c r="G803" s="4" t="n"/>
      <c r="H803" s="4" t="n"/>
      <c r="I803" s="4" t="n"/>
    </row>
    <row r="804" ht="15.75" customHeight="1" s="85">
      <c r="A804" s="4" t="n"/>
      <c r="B804" s="4" t="n"/>
      <c r="C804" s="4" t="n"/>
      <c r="D804" s="4" t="n"/>
      <c r="E804" s="4" t="n"/>
      <c r="F804" s="4" t="n"/>
      <c r="G804" s="4" t="n"/>
      <c r="H804" s="4" t="n"/>
      <c r="I804" s="4" t="n"/>
    </row>
    <row r="805" ht="15.75" customHeight="1" s="85">
      <c r="A805" s="4" t="n"/>
      <c r="B805" s="4" t="n"/>
      <c r="C805" s="4" t="n"/>
      <c r="D805" s="4" t="n"/>
      <c r="E805" s="4" t="n"/>
      <c r="F805" s="4" t="n"/>
      <c r="G805" s="4" t="n"/>
      <c r="H805" s="4" t="n"/>
      <c r="I805" s="4" t="n"/>
    </row>
    <row r="806" ht="15.75" customHeight="1" s="85">
      <c r="A806" s="4" t="n"/>
      <c r="B806" s="4" t="n"/>
      <c r="C806" s="4" t="n"/>
      <c r="D806" s="4" t="n"/>
      <c r="E806" s="4" t="n"/>
      <c r="F806" s="4" t="n"/>
      <c r="G806" s="4" t="n"/>
      <c r="H806" s="4" t="n"/>
      <c r="I806" s="4" t="n"/>
    </row>
    <row r="807" ht="15.75" customHeight="1" s="85">
      <c r="A807" s="4" t="n"/>
      <c r="B807" s="4" t="n"/>
      <c r="C807" s="4" t="n"/>
      <c r="D807" s="4" t="n"/>
      <c r="E807" s="4" t="n"/>
      <c r="F807" s="4" t="n"/>
      <c r="G807" s="4" t="n"/>
      <c r="H807" s="4" t="n"/>
      <c r="I807" s="4" t="n"/>
    </row>
    <row r="808" ht="15.75" customHeight="1" s="85">
      <c r="A808" s="4" t="n"/>
      <c r="B808" s="4" t="n"/>
      <c r="C808" s="4" t="n"/>
      <c r="D808" s="4" t="n"/>
      <c r="E808" s="4" t="n"/>
      <c r="F808" s="4" t="n"/>
      <c r="G808" s="4" t="n"/>
      <c r="H808" s="4" t="n"/>
      <c r="I808" s="4" t="n"/>
    </row>
    <row r="809" ht="15.75" customHeight="1" s="85">
      <c r="A809" s="4" t="n"/>
      <c r="B809" s="4" t="n"/>
      <c r="C809" s="4" t="n"/>
      <c r="D809" s="4" t="n"/>
      <c r="E809" s="4" t="n"/>
      <c r="F809" s="4" t="n"/>
      <c r="G809" s="4" t="n"/>
      <c r="H809" s="4" t="n"/>
      <c r="I809" s="4" t="n"/>
    </row>
    <row r="810" ht="15.75" customHeight="1" s="85">
      <c r="A810" s="4" t="n"/>
      <c r="B810" s="4" t="n"/>
      <c r="C810" s="4" t="n"/>
      <c r="D810" s="4" t="n"/>
      <c r="E810" s="4" t="n"/>
      <c r="F810" s="4" t="n"/>
      <c r="G810" s="4" t="n"/>
      <c r="H810" s="4" t="n"/>
      <c r="I810" s="4" t="n"/>
    </row>
    <row r="811" ht="15.75" customHeight="1" s="85">
      <c r="A811" s="4" t="n"/>
      <c r="B811" s="4" t="n"/>
      <c r="C811" s="4" t="n"/>
      <c r="D811" s="4" t="n"/>
      <c r="E811" s="4" t="n"/>
      <c r="F811" s="4" t="n"/>
      <c r="G811" s="4" t="n"/>
      <c r="H811" s="4" t="n"/>
      <c r="I811" s="4" t="n"/>
    </row>
    <row r="812" ht="15.75" customHeight="1" s="85">
      <c r="A812" s="4" t="n"/>
      <c r="B812" s="4" t="n"/>
      <c r="C812" s="4" t="n"/>
      <c r="D812" s="4" t="n"/>
      <c r="E812" s="4" t="n"/>
      <c r="F812" s="4" t="n"/>
      <c r="G812" s="4" t="n"/>
      <c r="H812" s="4" t="n"/>
      <c r="I812" s="4" t="n"/>
    </row>
    <row r="813" ht="15.75" customHeight="1" s="85">
      <c r="A813" s="4" t="n"/>
      <c r="B813" s="4" t="n"/>
      <c r="C813" s="4" t="n"/>
      <c r="D813" s="4" t="n"/>
      <c r="E813" s="4" t="n"/>
      <c r="F813" s="4" t="n"/>
      <c r="G813" s="4" t="n"/>
      <c r="H813" s="4" t="n"/>
      <c r="I813" s="4" t="n"/>
    </row>
    <row r="814" ht="15.75" customHeight="1" s="85">
      <c r="A814" s="4" t="n"/>
      <c r="B814" s="4" t="n"/>
      <c r="C814" s="4" t="n"/>
      <c r="D814" s="4" t="n"/>
      <c r="E814" s="4" t="n"/>
      <c r="F814" s="4" t="n"/>
      <c r="G814" s="4" t="n"/>
      <c r="H814" s="4" t="n"/>
      <c r="I814" s="4" t="n"/>
    </row>
    <row r="815" ht="15.75" customHeight="1" s="85">
      <c r="A815" s="4" t="n"/>
      <c r="B815" s="4" t="n"/>
      <c r="C815" s="4" t="n"/>
      <c r="D815" s="4" t="n"/>
      <c r="E815" s="4" t="n"/>
      <c r="F815" s="4" t="n"/>
      <c r="G815" s="4" t="n"/>
      <c r="H815" s="4" t="n"/>
      <c r="I815" s="4" t="n"/>
    </row>
    <row r="816" ht="15.75" customHeight="1" s="85">
      <c r="A816" s="4" t="n"/>
      <c r="B816" s="4" t="n"/>
      <c r="C816" s="4" t="n"/>
      <c r="D816" s="4" t="n"/>
      <c r="E816" s="4" t="n"/>
      <c r="F816" s="4" t="n"/>
      <c r="G816" s="4" t="n"/>
      <c r="H816" s="4" t="n"/>
      <c r="I816" s="4" t="n"/>
    </row>
    <row r="817" ht="15.75" customHeight="1" s="85">
      <c r="A817" s="4" t="n"/>
      <c r="B817" s="4" t="n"/>
      <c r="C817" s="4" t="n"/>
      <c r="D817" s="4" t="n"/>
      <c r="E817" s="4" t="n"/>
      <c r="F817" s="4" t="n"/>
      <c r="G817" s="4" t="n"/>
      <c r="H817" s="4" t="n"/>
      <c r="I817" s="4" t="n"/>
    </row>
    <row r="818" ht="15.75" customHeight="1" s="85">
      <c r="A818" s="4" t="n"/>
      <c r="B818" s="4" t="n"/>
      <c r="C818" s="4" t="n"/>
      <c r="D818" s="4" t="n"/>
      <c r="E818" s="4" t="n"/>
      <c r="F818" s="4" t="n"/>
      <c r="G818" s="4" t="n"/>
      <c r="H818" s="4" t="n"/>
      <c r="I818" s="4" t="n"/>
    </row>
    <row r="819" ht="15.75" customHeight="1" s="85">
      <c r="A819" s="4" t="n"/>
      <c r="B819" s="4" t="n"/>
      <c r="C819" s="4" t="n"/>
      <c r="D819" s="4" t="n"/>
      <c r="E819" s="4" t="n"/>
      <c r="F819" s="4" t="n"/>
      <c r="G819" s="4" t="n"/>
      <c r="H819" s="4" t="n"/>
      <c r="I819" s="4" t="n"/>
    </row>
    <row r="820" ht="15.75" customHeight="1" s="85">
      <c r="A820" s="4" t="n"/>
      <c r="B820" s="4" t="n"/>
      <c r="C820" s="4" t="n"/>
      <c r="D820" s="4" t="n"/>
      <c r="E820" s="4" t="n"/>
      <c r="F820" s="4" t="n"/>
      <c r="G820" s="4" t="n"/>
      <c r="H820" s="4" t="n"/>
      <c r="I820" s="4" t="n"/>
    </row>
    <row r="821" ht="15.75" customHeight="1" s="85">
      <c r="A821" s="4" t="n"/>
      <c r="B821" s="4" t="n"/>
      <c r="C821" s="4" t="n"/>
      <c r="D821" s="4" t="n"/>
      <c r="E821" s="4" t="n"/>
      <c r="F821" s="4" t="n"/>
      <c r="G821" s="4" t="n"/>
      <c r="H821" s="4" t="n"/>
      <c r="I821" s="4" t="n"/>
    </row>
    <row r="822" ht="15.75" customHeight="1" s="85">
      <c r="A822" s="4" t="n"/>
      <c r="B822" s="4" t="n"/>
      <c r="C822" s="4" t="n"/>
      <c r="D822" s="4" t="n"/>
      <c r="E822" s="4" t="n"/>
      <c r="F822" s="4" t="n"/>
      <c r="G822" s="4" t="n"/>
      <c r="H822" s="4" t="n"/>
      <c r="I822" s="4" t="n"/>
    </row>
    <row r="823" ht="15.75" customHeight="1" s="85">
      <c r="A823" s="4" t="n"/>
      <c r="B823" s="4" t="n"/>
      <c r="C823" s="4" t="n"/>
      <c r="D823" s="4" t="n"/>
      <c r="E823" s="4" t="n"/>
      <c r="F823" s="4" t="n"/>
      <c r="G823" s="4" t="n"/>
      <c r="H823" s="4" t="n"/>
      <c r="I823" s="4" t="n"/>
    </row>
    <row r="824" ht="15.75" customHeight="1" s="85">
      <c r="A824" s="4" t="n"/>
      <c r="B824" s="4" t="n"/>
      <c r="C824" s="4" t="n"/>
      <c r="D824" s="4" t="n"/>
      <c r="E824" s="4" t="n"/>
      <c r="F824" s="4" t="n"/>
      <c r="G824" s="4" t="n"/>
      <c r="H824" s="4" t="n"/>
      <c r="I824" s="4" t="n"/>
    </row>
    <row r="825" ht="15.75" customHeight="1" s="85">
      <c r="A825" s="4" t="n"/>
      <c r="B825" s="4" t="n"/>
      <c r="C825" s="4" t="n"/>
      <c r="D825" s="4" t="n"/>
      <c r="E825" s="4" t="n"/>
      <c r="F825" s="4" t="n"/>
      <c r="G825" s="4" t="n"/>
      <c r="H825" s="4" t="n"/>
      <c r="I825" s="4" t="n"/>
    </row>
    <row r="826" ht="15.75" customHeight="1" s="85">
      <c r="A826" s="4" t="n"/>
      <c r="B826" s="4" t="n"/>
      <c r="C826" s="4" t="n"/>
      <c r="D826" s="4" t="n"/>
      <c r="E826" s="4" t="n"/>
      <c r="F826" s="4" t="n"/>
      <c r="G826" s="4" t="n"/>
      <c r="H826" s="4" t="n"/>
      <c r="I826" s="4" t="n"/>
    </row>
    <row r="827" ht="15.75" customHeight="1" s="85">
      <c r="A827" s="4" t="n"/>
      <c r="B827" s="4" t="n"/>
      <c r="C827" s="4" t="n"/>
      <c r="D827" s="4" t="n"/>
      <c r="E827" s="4" t="n"/>
      <c r="F827" s="4" t="n"/>
      <c r="G827" s="4" t="n"/>
      <c r="H827" s="4" t="n"/>
      <c r="I827" s="4" t="n"/>
    </row>
    <row r="828" ht="15.75" customHeight="1" s="85">
      <c r="A828" s="4" t="n"/>
      <c r="B828" s="4" t="n"/>
      <c r="C828" s="4" t="n"/>
      <c r="D828" s="4" t="n"/>
      <c r="E828" s="4" t="n"/>
      <c r="F828" s="4" t="n"/>
      <c r="G828" s="4" t="n"/>
      <c r="H828" s="4" t="n"/>
      <c r="I828" s="4" t="n"/>
    </row>
    <row r="829" ht="15.75" customHeight="1" s="85">
      <c r="A829" s="4" t="n"/>
      <c r="B829" s="4" t="n"/>
      <c r="C829" s="4" t="n"/>
      <c r="D829" s="4" t="n"/>
      <c r="E829" s="4" t="n"/>
      <c r="F829" s="4" t="n"/>
      <c r="G829" s="4" t="n"/>
      <c r="H829" s="4" t="n"/>
      <c r="I829" s="4" t="n"/>
    </row>
    <row r="830" ht="15.75" customHeight="1" s="85">
      <c r="A830" s="4" t="n"/>
      <c r="B830" s="4" t="n"/>
      <c r="C830" s="4" t="n"/>
      <c r="D830" s="4" t="n"/>
      <c r="E830" s="4" t="n"/>
      <c r="F830" s="4" t="n"/>
      <c r="G830" s="4" t="n"/>
      <c r="H830" s="4" t="n"/>
      <c r="I830" s="4" t="n"/>
    </row>
    <row r="831" ht="15.75" customHeight="1" s="85">
      <c r="A831" s="4" t="n"/>
      <c r="B831" s="4" t="n"/>
      <c r="C831" s="4" t="n"/>
      <c r="D831" s="4" t="n"/>
      <c r="E831" s="4" t="n"/>
      <c r="F831" s="4" t="n"/>
      <c r="G831" s="4" t="n"/>
      <c r="H831" s="4" t="n"/>
      <c r="I831" s="4" t="n"/>
    </row>
    <row r="832" ht="15.75" customHeight="1" s="85">
      <c r="A832" s="4" t="n"/>
      <c r="B832" s="4" t="n"/>
      <c r="C832" s="4" t="n"/>
      <c r="D832" s="4" t="n"/>
      <c r="E832" s="4" t="n"/>
      <c r="F832" s="4" t="n"/>
      <c r="G832" s="4" t="n"/>
      <c r="H832" s="4" t="n"/>
      <c r="I832" s="4" t="n"/>
    </row>
    <row r="833" ht="15.75" customHeight="1" s="85">
      <c r="A833" s="4" t="n"/>
      <c r="B833" s="4" t="n"/>
      <c r="C833" s="4" t="n"/>
      <c r="D833" s="4" t="n"/>
      <c r="E833" s="4" t="n"/>
      <c r="F833" s="4" t="n"/>
      <c r="G833" s="4" t="n"/>
      <c r="H833" s="4" t="n"/>
      <c r="I833" s="4" t="n"/>
    </row>
    <row r="834" ht="15.75" customHeight="1" s="85">
      <c r="A834" s="4" t="n"/>
      <c r="B834" s="4" t="n"/>
      <c r="C834" s="4" t="n"/>
      <c r="D834" s="4" t="n"/>
      <c r="E834" s="4" t="n"/>
      <c r="F834" s="4" t="n"/>
      <c r="G834" s="4" t="n"/>
      <c r="H834" s="4" t="n"/>
      <c r="I834" s="4" t="n"/>
    </row>
    <row r="835" ht="15.75" customHeight="1" s="85">
      <c r="A835" s="4" t="n"/>
      <c r="B835" s="4" t="n"/>
      <c r="C835" s="4" t="n"/>
      <c r="D835" s="4" t="n"/>
      <c r="E835" s="4" t="n"/>
      <c r="F835" s="4" t="n"/>
      <c r="G835" s="4" t="n"/>
      <c r="H835" s="4" t="n"/>
      <c r="I835" s="4" t="n"/>
    </row>
    <row r="836" ht="15.75" customHeight="1" s="85">
      <c r="A836" s="4" t="n"/>
      <c r="B836" s="4" t="n"/>
      <c r="C836" s="4" t="n"/>
      <c r="D836" s="4" t="n"/>
      <c r="E836" s="4" t="n"/>
      <c r="F836" s="4" t="n"/>
      <c r="G836" s="4" t="n"/>
      <c r="H836" s="4" t="n"/>
      <c r="I836" s="4" t="n"/>
    </row>
    <row r="837" ht="15.75" customHeight="1" s="85">
      <c r="A837" s="4" t="n"/>
      <c r="B837" s="4" t="n"/>
      <c r="C837" s="4" t="n"/>
      <c r="D837" s="4" t="n"/>
      <c r="E837" s="4" t="n"/>
      <c r="F837" s="4" t="n"/>
      <c r="G837" s="4" t="n"/>
      <c r="H837" s="4" t="n"/>
      <c r="I837" s="4" t="n"/>
    </row>
    <row r="838" ht="15.75" customHeight="1" s="85">
      <c r="A838" s="4" t="n"/>
      <c r="B838" s="4" t="n"/>
      <c r="C838" s="4" t="n"/>
      <c r="D838" s="4" t="n"/>
      <c r="E838" s="4" t="n"/>
      <c r="F838" s="4" t="n"/>
      <c r="G838" s="4" t="n"/>
      <c r="H838" s="4" t="n"/>
      <c r="I838" s="4" t="n"/>
    </row>
    <row r="839" ht="15.75" customHeight="1" s="85">
      <c r="A839" s="4" t="n"/>
      <c r="B839" s="4" t="n"/>
      <c r="C839" s="4" t="n"/>
      <c r="D839" s="4" t="n"/>
      <c r="E839" s="4" t="n"/>
      <c r="F839" s="4" t="n"/>
      <c r="G839" s="4" t="n"/>
      <c r="H839" s="4" t="n"/>
      <c r="I839" s="4" t="n"/>
    </row>
    <row r="840" ht="15.75" customHeight="1" s="85">
      <c r="A840" s="4" t="n"/>
      <c r="B840" s="4" t="n"/>
      <c r="C840" s="4" t="n"/>
      <c r="D840" s="4" t="n"/>
      <c r="E840" s="4" t="n"/>
      <c r="F840" s="4" t="n"/>
      <c r="G840" s="4" t="n"/>
      <c r="H840" s="4" t="n"/>
      <c r="I840" s="4" t="n"/>
    </row>
    <row r="841" ht="15.75" customHeight="1" s="85">
      <c r="A841" s="4" t="n"/>
      <c r="B841" s="4" t="n"/>
      <c r="C841" s="4" t="n"/>
      <c r="D841" s="4" t="n"/>
      <c r="E841" s="4" t="n"/>
      <c r="F841" s="4" t="n"/>
      <c r="G841" s="4" t="n"/>
      <c r="H841" s="4" t="n"/>
      <c r="I841" s="4" t="n"/>
    </row>
    <row r="842" ht="15.75" customHeight="1" s="85">
      <c r="A842" s="4" t="n"/>
      <c r="B842" s="4" t="n"/>
      <c r="C842" s="4" t="n"/>
      <c r="D842" s="4" t="n"/>
      <c r="E842" s="4" t="n"/>
      <c r="F842" s="4" t="n"/>
      <c r="G842" s="4" t="n"/>
      <c r="H842" s="4" t="n"/>
      <c r="I842" s="4" t="n"/>
    </row>
    <row r="843" ht="15.75" customHeight="1" s="85">
      <c r="A843" s="4" t="n"/>
      <c r="B843" s="4" t="n"/>
      <c r="C843" s="4" t="n"/>
      <c r="D843" s="4" t="n"/>
      <c r="E843" s="4" t="n"/>
      <c r="F843" s="4" t="n"/>
      <c r="G843" s="4" t="n"/>
      <c r="H843" s="4" t="n"/>
      <c r="I843" s="4" t="n"/>
    </row>
    <row r="844" ht="15.75" customHeight="1" s="85">
      <c r="A844" s="4" t="n"/>
      <c r="B844" s="4" t="n"/>
      <c r="C844" s="4" t="n"/>
      <c r="D844" s="4" t="n"/>
      <c r="E844" s="4" t="n"/>
      <c r="F844" s="4" t="n"/>
      <c r="G844" s="4" t="n"/>
      <c r="H844" s="4" t="n"/>
      <c r="I844" s="4" t="n"/>
    </row>
    <row r="845" ht="15.75" customHeight="1" s="85">
      <c r="A845" s="4" t="n"/>
      <c r="B845" s="4" t="n"/>
      <c r="C845" s="4" t="n"/>
      <c r="D845" s="4" t="n"/>
      <c r="E845" s="4" t="n"/>
      <c r="F845" s="4" t="n"/>
      <c r="G845" s="4" t="n"/>
      <c r="H845" s="4" t="n"/>
      <c r="I845" s="4" t="n"/>
    </row>
    <row r="846" ht="15.75" customHeight="1" s="85">
      <c r="A846" s="4" t="n"/>
      <c r="B846" s="4" t="n"/>
      <c r="C846" s="4" t="n"/>
      <c r="D846" s="4" t="n"/>
      <c r="E846" s="4" t="n"/>
      <c r="F846" s="4" t="n"/>
      <c r="G846" s="4" t="n"/>
      <c r="H846" s="4" t="n"/>
      <c r="I846" s="4" t="n"/>
    </row>
    <row r="847" ht="15.75" customHeight="1" s="85">
      <c r="A847" s="4" t="n"/>
      <c r="B847" s="4" t="n"/>
      <c r="C847" s="4" t="n"/>
      <c r="D847" s="4" t="n"/>
      <c r="E847" s="4" t="n"/>
      <c r="F847" s="4" t="n"/>
      <c r="G847" s="4" t="n"/>
      <c r="H847" s="4" t="n"/>
      <c r="I847" s="4" t="n"/>
    </row>
    <row r="848" ht="15.75" customHeight="1" s="85">
      <c r="A848" s="4" t="n"/>
      <c r="B848" s="4" t="n"/>
      <c r="C848" s="4" t="n"/>
      <c r="D848" s="4" t="n"/>
      <c r="E848" s="4" t="n"/>
      <c r="F848" s="4" t="n"/>
      <c r="G848" s="4" t="n"/>
      <c r="H848" s="4" t="n"/>
      <c r="I848" s="4" t="n"/>
    </row>
    <row r="849" ht="15.75" customHeight="1" s="85">
      <c r="A849" s="4" t="n"/>
      <c r="B849" s="4" t="n"/>
      <c r="C849" s="4" t="n"/>
      <c r="D849" s="4" t="n"/>
      <c r="E849" s="4" t="n"/>
      <c r="F849" s="4" t="n"/>
      <c r="G849" s="4" t="n"/>
      <c r="H849" s="4" t="n"/>
      <c r="I849" s="4" t="n"/>
    </row>
    <row r="850" ht="15.75" customHeight="1" s="85">
      <c r="A850" s="4" t="n"/>
      <c r="B850" s="4" t="n"/>
      <c r="C850" s="4" t="n"/>
      <c r="D850" s="4" t="n"/>
      <c r="E850" s="4" t="n"/>
      <c r="F850" s="4" t="n"/>
      <c r="G850" s="4" t="n"/>
      <c r="H850" s="4" t="n"/>
      <c r="I850" s="4" t="n"/>
    </row>
    <row r="851" ht="15.75" customHeight="1" s="85">
      <c r="A851" s="4" t="n"/>
      <c r="B851" s="4" t="n"/>
      <c r="C851" s="4" t="n"/>
      <c r="D851" s="4" t="n"/>
      <c r="E851" s="4" t="n"/>
      <c r="F851" s="4" t="n"/>
      <c r="G851" s="4" t="n"/>
      <c r="H851" s="4" t="n"/>
      <c r="I851" s="4" t="n"/>
    </row>
    <row r="852" ht="15.75" customHeight="1" s="85">
      <c r="A852" s="4" t="n"/>
      <c r="B852" s="4" t="n"/>
      <c r="C852" s="4" t="n"/>
      <c r="D852" s="4" t="n"/>
      <c r="E852" s="4" t="n"/>
      <c r="F852" s="4" t="n"/>
      <c r="G852" s="4" t="n"/>
      <c r="H852" s="4" t="n"/>
      <c r="I852" s="4" t="n"/>
    </row>
    <row r="853" ht="15.75" customHeight="1" s="85">
      <c r="A853" s="4" t="n"/>
      <c r="B853" s="4" t="n"/>
      <c r="C853" s="4" t="n"/>
      <c r="D853" s="4" t="n"/>
      <c r="E853" s="4" t="n"/>
      <c r="F853" s="4" t="n"/>
      <c r="G853" s="4" t="n"/>
      <c r="H853" s="4" t="n"/>
      <c r="I853" s="4" t="n"/>
    </row>
    <row r="854" ht="15.75" customHeight="1" s="85">
      <c r="A854" s="4" t="n"/>
      <c r="B854" s="4" t="n"/>
      <c r="C854" s="4" t="n"/>
      <c r="D854" s="4" t="n"/>
      <c r="E854" s="4" t="n"/>
      <c r="F854" s="4" t="n"/>
      <c r="G854" s="4" t="n"/>
      <c r="H854" s="4" t="n"/>
      <c r="I854" s="4" t="n"/>
    </row>
    <row r="855" ht="15.75" customHeight="1" s="85">
      <c r="A855" s="4" t="n"/>
      <c r="B855" s="4" t="n"/>
      <c r="C855" s="4" t="n"/>
      <c r="D855" s="4" t="n"/>
      <c r="E855" s="4" t="n"/>
      <c r="F855" s="4" t="n"/>
      <c r="G855" s="4" t="n"/>
      <c r="H855" s="4" t="n"/>
      <c r="I855" s="4" t="n"/>
    </row>
    <row r="856" ht="15.75" customHeight="1" s="85">
      <c r="A856" s="4" t="n"/>
      <c r="B856" s="4" t="n"/>
      <c r="C856" s="4" t="n"/>
      <c r="D856" s="4" t="n"/>
      <c r="E856" s="4" t="n"/>
      <c r="F856" s="4" t="n"/>
      <c r="G856" s="4" t="n"/>
      <c r="H856" s="4" t="n"/>
      <c r="I856" s="4" t="n"/>
    </row>
    <row r="857" ht="15.75" customHeight="1" s="85">
      <c r="A857" s="4" t="n"/>
      <c r="B857" s="4" t="n"/>
      <c r="C857" s="4" t="n"/>
      <c r="D857" s="4" t="n"/>
      <c r="E857" s="4" t="n"/>
      <c r="F857" s="4" t="n"/>
      <c r="G857" s="4" t="n"/>
      <c r="H857" s="4" t="n"/>
      <c r="I857" s="4" t="n"/>
    </row>
    <row r="858" ht="15.75" customHeight="1" s="85">
      <c r="A858" s="4" t="n"/>
      <c r="B858" s="4" t="n"/>
      <c r="C858" s="4" t="n"/>
      <c r="D858" s="4" t="n"/>
      <c r="E858" s="4" t="n"/>
      <c r="F858" s="4" t="n"/>
      <c r="G858" s="4" t="n"/>
      <c r="H858" s="4" t="n"/>
      <c r="I858" s="4" t="n"/>
    </row>
    <row r="859" ht="15.75" customHeight="1" s="85">
      <c r="A859" s="4" t="n"/>
      <c r="B859" s="4" t="n"/>
      <c r="C859" s="4" t="n"/>
      <c r="D859" s="4" t="n"/>
      <c r="E859" s="4" t="n"/>
      <c r="F859" s="4" t="n"/>
      <c r="G859" s="4" t="n"/>
      <c r="H859" s="4" t="n"/>
      <c r="I859" s="4" t="n"/>
    </row>
    <row r="860" ht="15.75" customHeight="1" s="85">
      <c r="A860" s="4" t="n"/>
      <c r="B860" s="4" t="n"/>
      <c r="C860" s="4" t="n"/>
      <c r="D860" s="4" t="n"/>
      <c r="E860" s="4" t="n"/>
      <c r="F860" s="4" t="n"/>
      <c r="G860" s="4" t="n"/>
      <c r="H860" s="4" t="n"/>
      <c r="I860" s="4" t="n"/>
    </row>
    <row r="861" ht="15.75" customHeight="1" s="85">
      <c r="A861" s="4" t="n"/>
      <c r="B861" s="4" t="n"/>
      <c r="C861" s="4" t="n"/>
      <c r="D861" s="4" t="n"/>
      <c r="E861" s="4" t="n"/>
      <c r="F861" s="4" t="n"/>
      <c r="G861" s="4" t="n"/>
      <c r="H861" s="4" t="n"/>
      <c r="I861" s="4" t="n"/>
    </row>
    <row r="862" ht="15.75" customHeight="1" s="85">
      <c r="A862" s="4" t="n"/>
      <c r="B862" s="4" t="n"/>
      <c r="C862" s="4" t="n"/>
      <c r="D862" s="4" t="n"/>
      <c r="E862" s="4" t="n"/>
      <c r="F862" s="4" t="n"/>
      <c r="G862" s="4" t="n"/>
      <c r="H862" s="4" t="n"/>
      <c r="I862" s="4" t="n"/>
    </row>
    <row r="863" ht="15.75" customHeight="1" s="85">
      <c r="A863" s="4" t="n"/>
      <c r="B863" s="4" t="n"/>
      <c r="C863" s="4" t="n"/>
      <c r="D863" s="4" t="n"/>
      <c r="E863" s="4" t="n"/>
      <c r="F863" s="4" t="n"/>
      <c r="G863" s="4" t="n"/>
      <c r="H863" s="4" t="n"/>
      <c r="I863" s="4" t="n"/>
    </row>
    <row r="864" ht="15.75" customHeight="1" s="85">
      <c r="A864" s="4" t="n"/>
      <c r="B864" s="4" t="n"/>
      <c r="C864" s="4" t="n"/>
      <c r="D864" s="4" t="n"/>
      <c r="E864" s="4" t="n"/>
      <c r="F864" s="4" t="n"/>
      <c r="G864" s="4" t="n"/>
      <c r="H864" s="4" t="n"/>
      <c r="I864" s="4" t="n"/>
    </row>
    <row r="865" ht="15.75" customHeight="1" s="85">
      <c r="A865" s="4" t="n"/>
      <c r="B865" s="4" t="n"/>
      <c r="C865" s="4" t="n"/>
      <c r="D865" s="4" t="n"/>
      <c r="E865" s="4" t="n"/>
      <c r="F865" s="4" t="n"/>
      <c r="G865" s="4" t="n"/>
      <c r="H865" s="4" t="n"/>
      <c r="I865" s="4" t="n"/>
    </row>
    <row r="866" ht="15.75" customHeight="1" s="85">
      <c r="A866" s="4" t="n"/>
      <c r="B866" s="4" t="n"/>
      <c r="C866" s="4" t="n"/>
      <c r="D866" s="4" t="n"/>
      <c r="E866" s="4" t="n"/>
      <c r="F866" s="4" t="n"/>
      <c r="G866" s="4" t="n"/>
      <c r="H866" s="4" t="n"/>
      <c r="I866" s="4" t="n"/>
    </row>
    <row r="867" ht="15.75" customHeight="1" s="85">
      <c r="A867" s="4" t="n"/>
      <c r="B867" s="4" t="n"/>
      <c r="C867" s="4" t="n"/>
      <c r="D867" s="4" t="n"/>
      <c r="E867" s="4" t="n"/>
      <c r="F867" s="4" t="n"/>
      <c r="G867" s="4" t="n"/>
      <c r="H867" s="4" t="n"/>
      <c r="I867" s="4" t="n"/>
    </row>
    <row r="868" ht="15.75" customHeight="1" s="85">
      <c r="A868" s="4" t="n"/>
      <c r="B868" s="4" t="n"/>
      <c r="C868" s="4" t="n"/>
      <c r="D868" s="4" t="n"/>
      <c r="E868" s="4" t="n"/>
      <c r="F868" s="4" t="n"/>
      <c r="G868" s="4" t="n"/>
      <c r="H868" s="4" t="n"/>
      <c r="I868" s="4" t="n"/>
    </row>
    <row r="869" ht="15.75" customHeight="1" s="85">
      <c r="A869" s="4" t="n"/>
      <c r="B869" s="4" t="n"/>
      <c r="C869" s="4" t="n"/>
      <c r="D869" s="4" t="n"/>
      <c r="E869" s="4" t="n"/>
      <c r="F869" s="4" t="n"/>
      <c r="G869" s="4" t="n"/>
      <c r="H869" s="4" t="n"/>
      <c r="I869" s="4" t="n"/>
    </row>
    <row r="870" ht="15.75" customHeight="1" s="85">
      <c r="A870" s="4" t="n"/>
      <c r="B870" s="4" t="n"/>
      <c r="C870" s="4" t="n"/>
      <c r="D870" s="4" t="n"/>
      <c r="E870" s="4" t="n"/>
      <c r="F870" s="4" t="n"/>
      <c r="G870" s="4" t="n"/>
      <c r="H870" s="4" t="n"/>
      <c r="I870" s="4" t="n"/>
    </row>
    <row r="871" ht="15.75" customHeight="1" s="85">
      <c r="A871" s="4" t="n"/>
      <c r="B871" s="4" t="n"/>
      <c r="C871" s="4" t="n"/>
      <c r="D871" s="4" t="n"/>
      <c r="E871" s="4" t="n"/>
      <c r="F871" s="4" t="n"/>
      <c r="G871" s="4" t="n"/>
      <c r="H871" s="4" t="n"/>
      <c r="I871" s="4" t="n"/>
    </row>
    <row r="872" ht="15.75" customHeight="1" s="85">
      <c r="A872" s="4" t="n"/>
      <c r="B872" s="4" t="n"/>
      <c r="C872" s="4" t="n"/>
      <c r="D872" s="4" t="n"/>
      <c r="E872" s="4" t="n"/>
      <c r="F872" s="4" t="n"/>
      <c r="G872" s="4" t="n"/>
      <c r="H872" s="4" t="n"/>
      <c r="I872" s="4" t="n"/>
    </row>
    <row r="873" ht="15.75" customHeight="1" s="85">
      <c r="A873" s="4" t="n"/>
      <c r="B873" s="4" t="n"/>
      <c r="C873" s="4" t="n"/>
      <c r="D873" s="4" t="n"/>
      <c r="E873" s="4" t="n"/>
      <c r="F873" s="4" t="n"/>
      <c r="G873" s="4" t="n"/>
      <c r="H873" s="4" t="n"/>
      <c r="I873" s="4" t="n"/>
    </row>
    <row r="874" ht="15.75" customHeight="1" s="85">
      <c r="A874" s="4" t="n"/>
      <c r="B874" s="4" t="n"/>
      <c r="C874" s="4" t="n"/>
      <c r="D874" s="4" t="n"/>
      <c r="E874" s="4" t="n"/>
      <c r="F874" s="4" t="n"/>
      <c r="G874" s="4" t="n"/>
      <c r="H874" s="4" t="n"/>
      <c r="I874" s="4" t="n"/>
    </row>
    <row r="875" ht="15.75" customHeight="1" s="85">
      <c r="A875" s="4" t="n"/>
      <c r="B875" s="4" t="n"/>
      <c r="C875" s="4" t="n"/>
      <c r="D875" s="4" t="n"/>
      <c r="E875" s="4" t="n"/>
      <c r="F875" s="4" t="n"/>
      <c r="G875" s="4" t="n"/>
      <c r="H875" s="4" t="n"/>
      <c r="I875" s="4" t="n"/>
    </row>
    <row r="876" ht="15.75" customHeight="1" s="85">
      <c r="A876" s="4" t="n"/>
      <c r="B876" s="4" t="n"/>
      <c r="C876" s="4" t="n"/>
      <c r="D876" s="4" t="n"/>
      <c r="E876" s="4" t="n"/>
      <c r="F876" s="4" t="n"/>
      <c r="G876" s="4" t="n"/>
      <c r="H876" s="4" t="n"/>
      <c r="I876" s="4" t="n"/>
    </row>
    <row r="877" ht="15.75" customHeight="1" s="85">
      <c r="A877" s="4" t="n"/>
      <c r="B877" s="4" t="n"/>
      <c r="C877" s="4" t="n"/>
      <c r="D877" s="4" t="n"/>
      <c r="E877" s="4" t="n"/>
      <c r="F877" s="4" t="n"/>
      <c r="G877" s="4" t="n"/>
      <c r="H877" s="4" t="n"/>
      <c r="I877" s="4" t="n"/>
    </row>
    <row r="878" ht="15.75" customHeight="1" s="85">
      <c r="A878" s="4" t="n"/>
      <c r="B878" s="4" t="n"/>
      <c r="C878" s="4" t="n"/>
      <c r="D878" s="4" t="n"/>
      <c r="E878" s="4" t="n"/>
      <c r="F878" s="4" t="n"/>
      <c r="G878" s="4" t="n"/>
      <c r="H878" s="4" t="n"/>
      <c r="I878" s="4" t="n"/>
    </row>
    <row r="879" ht="15.75" customHeight="1" s="85">
      <c r="A879" s="4" t="n"/>
      <c r="B879" s="4" t="n"/>
      <c r="C879" s="4" t="n"/>
      <c r="D879" s="4" t="n"/>
      <c r="E879" s="4" t="n"/>
      <c r="F879" s="4" t="n"/>
      <c r="G879" s="4" t="n"/>
      <c r="H879" s="4" t="n"/>
      <c r="I879" s="4" t="n"/>
    </row>
    <row r="880" ht="15.75" customHeight="1" s="85">
      <c r="A880" s="4" t="n"/>
      <c r="B880" s="4" t="n"/>
      <c r="C880" s="4" t="n"/>
      <c r="D880" s="4" t="n"/>
      <c r="E880" s="4" t="n"/>
      <c r="F880" s="4" t="n"/>
      <c r="G880" s="4" t="n"/>
      <c r="H880" s="4" t="n"/>
      <c r="I880" s="4" t="n"/>
    </row>
    <row r="881" ht="15.75" customHeight="1" s="85">
      <c r="A881" s="4" t="n"/>
      <c r="B881" s="4" t="n"/>
      <c r="C881" s="4" t="n"/>
      <c r="D881" s="4" t="n"/>
      <c r="E881" s="4" t="n"/>
      <c r="F881" s="4" t="n"/>
      <c r="G881" s="4" t="n"/>
      <c r="H881" s="4" t="n"/>
      <c r="I881" s="4" t="n"/>
    </row>
    <row r="882" ht="15.75" customHeight="1" s="85">
      <c r="A882" s="4" t="n"/>
      <c r="B882" s="4" t="n"/>
      <c r="C882" s="4" t="n"/>
      <c r="D882" s="4" t="n"/>
      <c r="E882" s="4" t="n"/>
      <c r="F882" s="4" t="n"/>
      <c r="G882" s="4" t="n"/>
      <c r="H882" s="4" t="n"/>
      <c r="I882" s="4" t="n"/>
    </row>
    <row r="883" ht="15.75" customHeight="1" s="85">
      <c r="A883" s="4" t="n"/>
      <c r="B883" s="4" t="n"/>
      <c r="C883" s="4" t="n"/>
      <c r="D883" s="4" t="n"/>
      <c r="E883" s="4" t="n"/>
      <c r="F883" s="4" t="n"/>
      <c r="G883" s="4" t="n"/>
      <c r="H883" s="4" t="n"/>
      <c r="I883" s="4" t="n"/>
    </row>
    <row r="884" ht="15.75" customHeight="1" s="85">
      <c r="A884" s="4" t="n"/>
      <c r="B884" s="4" t="n"/>
      <c r="C884" s="4" t="n"/>
      <c r="D884" s="4" t="n"/>
      <c r="E884" s="4" t="n"/>
      <c r="F884" s="4" t="n"/>
      <c r="G884" s="4" t="n"/>
      <c r="H884" s="4" t="n"/>
      <c r="I884" s="4" t="n"/>
    </row>
    <row r="885" ht="15.75" customHeight="1" s="85">
      <c r="A885" s="4" t="n"/>
      <c r="B885" s="4" t="n"/>
      <c r="C885" s="4" t="n"/>
      <c r="D885" s="4" t="n"/>
      <c r="E885" s="4" t="n"/>
      <c r="F885" s="4" t="n"/>
      <c r="G885" s="4" t="n"/>
      <c r="H885" s="4" t="n"/>
      <c r="I885" s="4" t="n"/>
    </row>
    <row r="886" ht="15.75" customHeight="1" s="85">
      <c r="A886" s="4" t="n"/>
      <c r="B886" s="4" t="n"/>
      <c r="C886" s="4" t="n"/>
      <c r="D886" s="4" t="n"/>
      <c r="E886" s="4" t="n"/>
      <c r="F886" s="4" t="n"/>
      <c r="G886" s="4" t="n"/>
      <c r="H886" s="4" t="n"/>
      <c r="I886" s="4" t="n"/>
    </row>
    <row r="887" ht="15.75" customHeight="1" s="85">
      <c r="A887" s="4" t="n"/>
      <c r="B887" s="4" t="n"/>
      <c r="C887" s="4" t="n"/>
      <c r="D887" s="4" t="n"/>
      <c r="E887" s="4" t="n"/>
      <c r="F887" s="4" t="n"/>
      <c r="G887" s="4" t="n"/>
      <c r="H887" s="4" t="n"/>
      <c r="I887" s="4" t="n"/>
    </row>
    <row r="888" ht="15.75" customHeight="1" s="85">
      <c r="A888" s="4" t="n"/>
      <c r="B888" s="4" t="n"/>
      <c r="C888" s="4" t="n"/>
      <c r="D888" s="4" t="n"/>
      <c r="E888" s="4" t="n"/>
      <c r="F888" s="4" t="n"/>
      <c r="G888" s="4" t="n"/>
      <c r="H888" s="4" t="n"/>
      <c r="I888" s="4" t="n"/>
    </row>
    <row r="889" ht="15.75" customHeight="1" s="85">
      <c r="A889" s="4" t="n"/>
      <c r="B889" s="4" t="n"/>
      <c r="C889" s="4" t="n"/>
      <c r="D889" s="4" t="n"/>
      <c r="E889" s="4" t="n"/>
      <c r="F889" s="4" t="n"/>
      <c r="G889" s="4" t="n"/>
      <c r="H889" s="4" t="n"/>
      <c r="I889" s="4" t="n"/>
    </row>
    <row r="890" ht="15.75" customHeight="1" s="85">
      <c r="A890" s="4" t="n"/>
      <c r="B890" s="4" t="n"/>
      <c r="C890" s="4" t="n"/>
      <c r="D890" s="4" t="n"/>
      <c r="E890" s="4" t="n"/>
      <c r="F890" s="4" t="n"/>
      <c r="G890" s="4" t="n"/>
      <c r="H890" s="4" t="n"/>
      <c r="I890" s="4" t="n"/>
    </row>
    <row r="891" ht="15.75" customHeight="1" s="85">
      <c r="A891" s="4" t="n"/>
      <c r="B891" s="4" t="n"/>
      <c r="C891" s="4" t="n"/>
      <c r="D891" s="4" t="n"/>
      <c r="E891" s="4" t="n"/>
      <c r="F891" s="4" t="n"/>
      <c r="G891" s="4" t="n"/>
      <c r="H891" s="4" t="n"/>
      <c r="I891" s="4" t="n"/>
    </row>
    <row r="892" ht="15.75" customHeight="1" s="85">
      <c r="A892" s="4" t="n"/>
      <c r="B892" s="4" t="n"/>
      <c r="C892" s="4" t="n"/>
      <c r="D892" s="4" t="n"/>
      <c r="E892" s="4" t="n"/>
      <c r="F892" s="4" t="n"/>
      <c r="G892" s="4" t="n"/>
      <c r="H892" s="4" t="n"/>
      <c r="I892" s="4" t="n"/>
    </row>
    <row r="893" ht="15.75" customHeight="1" s="85">
      <c r="A893" s="4" t="n"/>
      <c r="B893" s="4" t="n"/>
      <c r="C893" s="4" t="n"/>
      <c r="D893" s="4" t="n"/>
      <c r="E893" s="4" t="n"/>
      <c r="F893" s="4" t="n"/>
      <c r="G893" s="4" t="n"/>
      <c r="H893" s="4" t="n"/>
      <c r="I893" s="4" t="n"/>
    </row>
    <row r="894" ht="15.75" customHeight="1" s="85">
      <c r="A894" s="4" t="n"/>
      <c r="B894" s="4" t="n"/>
      <c r="C894" s="4" t="n"/>
      <c r="D894" s="4" t="n"/>
      <c r="E894" s="4" t="n"/>
      <c r="F894" s="4" t="n"/>
      <c r="G894" s="4" t="n"/>
      <c r="H894" s="4" t="n"/>
      <c r="I894" s="4" t="n"/>
    </row>
    <row r="895" ht="15.75" customHeight="1" s="85">
      <c r="A895" s="4" t="n"/>
      <c r="B895" s="4" t="n"/>
      <c r="C895" s="4" t="n"/>
      <c r="D895" s="4" t="n"/>
      <c r="E895" s="4" t="n"/>
      <c r="F895" s="4" t="n"/>
      <c r="G895" s="4" t="n"/>
      <c r="H895" s="4" t="n"/>
      <c r="I895" s="4" t="n"/>
    </row>
    <row r="896" ht="15.75" customHeight="1" s="85">
      <c r="A896" s="4" t="n"/>
      <c r="B896" s="4" t="n"/>
      <c r="C896" s="4" t="n"/>
      <c r="D896" s="4" t="n"/>
      <c r="E896" s="4" t="n"/>
      <c r="F896" s="4" t="n"/>
      <c r="G896" s="4" t="n"/>
      <c r="H896" s="4" t="n"/>
      <c r="I896" s="4" t="n"/>
    </row>
    <row r="897" ht="15.75" customHeight="1" s="85">
      <c r="A897" s="4" t="n"/>
      <c r="B897" s="4" t="n"/>
      <c r="C897" s="4" t="n"/>
      <c r="D897" s="4" t="n"/>
      <c r="E897" s="4" t="n"/>
      <c r="F897" s="4" t="n"/>
      <c r="G897" s="4" t="n"/>
      <c r="H897" s="4" t="n"/>
      <c r="I897" s="4" t="n"/>
    </row>
    <row r="898" ht="15.75" customHeight="1" s="85">
      <c r="A898" s="4" t="n"/>
      <c r="B898" s="4" t="n"/>
      <c r="C898" s="4" t="n"/>
      <c r="D898" s="4" t="n"/>
      <c r="E898" s="4" t="n"/>
      <c r="F898" s="4" t="n"/>
      <c r="G898" s="4" t="n"/>
      <c r="H898" s="4" t="n"/>
      <c r="I898" s="4" t="n"/>
    </row>
    <row r="899" ht="15.75" customHeight="1" s="85">
      <c r="A899" s="4" t="n"/>
      <c r="B899" s="4" t="n"/>
      <c r="C899" s="4" t="n"/>
      <c r="D899" s="4" t="n"/>
      <c r="E899" s="4" t="n"/>
      <c r="F899" s="4" t="n"/>
      <c r="G899" s="4" t="n"/>
      <c r="H899" s="4" t="n"/>
      <c r="I899" s="4" t="n"/>
    </row>
    <row r="900" ht="15.75" customHeight="1" s="85">
      <c r="A900" s="4" t="n"/>
      <c r="B900" s="4" t="n"/>
      <c r="C900" s="4" t="n"/>
      <c r="D900" s="4" t="n"/>
      <c r="E900" s="4" t="n"/>
      <c r="F900" s="4" t="n"/>
      <c r="G900" s="4" t="n"/>
      <c r="H900" s="4" t="n"/>
      <c r="I900" s="4" t="n"/>
    </row>
    <row r="901" ht="15.75" customHeight="1" s="85">
      <c r="A901" s="4" t="n"/>
      <c r="B901" s="4" t="n"/>
      <c r="C901" s="4" t="n"/>
      <c r="D901" s="4" t="n"/>
      <c r="E901" s="4" t="n"/>
      <c r="F901" s="4" t="n"/>
      <c r="G901" s="4" t="n"/>
      <c r="H901" s="4" t="n"/>
      <c r="I901" s="4" t="n"/>
    </row>
    <row r="902" ht="15.75" customHeight="1" s="85">
      <c r="A902" s="4" t="n"/>
      <c r="B902" s="4" t="n"/>
      <c r="C902" s="4" t="n"/>
      <c r="D902" s="4" t="n"/>
      <c r="E902" s="4" t="n"/>
      <c r="F902" s="4" t="n"/>
      <c r="G902" s="4" t="n"/>
      <c r="H902" s="4" t="n"/>
      <c r="I902" s="4" t="n"/>
    </row>
    <row r="903" ht="15.75" customHeight="1" s="85">
      <c r="A903" s="4" t="n"/>
      <c r="B903" s="4" t="n"/>
      <c r="C903" s="4" t="n"/>
      <c r="D903" s="4" t="n"/>
      <c r="E903" s="4" t="n"/>
      <c r="F903" s="4" t="n"/>
      <c r="G903" s="4" t="n"/>
      <c r="H903" s="4" t="n"/>
      <c r="I903" s="4" t="n"/>
    </row>
    <row r="904" ht="15.75" customHeight="1" s="85">
      <c r="A904" s="4" t="n"/>
      <c r="B904" s="4" t="n"/>
      <c r="C904" s="4" t="n"/>
      <c r="D904" s="4" t="n"/>
      <c r="E904" s="4" t="n"/>
      <c r="F904" s="4" t="n"/>
      <c r="G904" s="4" t="n"/>
      <c r="H904" s="4" t="n"/>
      <c r="I904" s="4" t="n"/>
    </row>
    <row r="905" ht="15.75" customHeight="1" s="85">
      <c r="A905" s="4" t="n"/>
      <c r="B905" s="4" t="n"/>
      <c r="C905" s="4" t="n"/>
      <c r="D905" s="4" t="n"/>
      <c r="E905" s="4" t="n"/>
      <c r="F905" s="4" t="n"/>
      <c r="G905" s="4" t="n"/>
      <c r="H905" s="4" t="n"/>
      <c r="I905" s="4" t="n"/>
    </row>
    <row r="906" ht="15.75" customHeight="1" s="85">
      <c r="A906" s="4" t="n"/>
      <c r="B906" s="4" t="n"/>
      <c r="C906" s="4" t="n"/>
      <c r="D906" s="4" t="n"/>
      <c r="E906" s="4" t="n"/>
      <c r="F906" s="4" t="n"/>
      <c r="G906" s="4" t="n"/>
      <c r="H906" s="4" t="n"/>
      <c r="I906" s="4" t="n"/>
    </row>
    <row r="907" ht="15.75" customHeight="1" s="85">
      <c r="A907" s="4" t="n"/>
      <c r="B907" s="4" t="n"/>
      <c r="C907" s="4" t="n"/>
      <c r="D907" s="4" t="n"/>
      <c r="E907" s="4" t="n"/>
      <c r="F907" s="4" t="n"/>
      <c r="G907" s="4" t="n"/>
      <c r="H907" s="4" t="n"/>
      <c r="I907" s="4" t="n"/>
    </row>
    <row r="908" ht="15.75" customHeight="1" s="85">
      <c r="A908" s="4" t="n"/>
      <c r="B908" s="4" t="n"/>
      <c r="C908" s="4" t="n"/>
      <c r="D908" s="4" t="n"/>
      <c r="E908" s="4" t="n"/>
      <c r="F908" s="4" t="n"/>
      <c r="G908" s="4" t="n"/>
      <c r="H908" s="4" t="n"/>
      <c r="I908" s="4" t="n"/>
    </row>
    <row r="909" ht="15.75" customHeight="1" s="85">
      <c r="A909" s="4" t="n"/>
      <c r="B909" s="4" t="n"/>
      <c r="C909" s="4" t="n"/>
      <c r="D909" s="4" t="n"/>
      <c r="E909" s="4" t="n"/>
      <c r="F909" s="4" t="n"/>
      <c r="G909" s="4" t="n"/>
      <c r="H909" s="4" t="n"/>
      <c r="I909" s="4" t="n"/>
    </row>
    <row r="910" ht="15.75" customHeight="1" s="85">
      <c r="A910" s="4" t="n"/>
      <c r="B910" s="4" t="n"/>
      <c r="C910" s="4" t="n"/>
      <c r="D910" s="4" t="n"/>
      <c r="E910" s="4" t="n"/>
      <c r="F910" s="4" t="n"/>
      <c r="G910" s="4" t="n"/>
      <c r="H910" s="4" t="n"/>
      <c r="I910" s="4" t="n"/>
    </row>
    <row r="911" ht="15.75" customHeight="1" s="85">
      <c r="A911" s="4" t="n"/>
      <c r="B911" s="4" t="n"/>
      <c r="C911" s="4" t="n"/>
      <c r="D911" s="4" t="n"/>
      <c r="E911" s="4" t="n"/>
      <c r="F911" s="4" t="n"/>
      <c r="G911" s="4" t="n"/>
      <c r="H911" s="4" t="n"/>
      <c r="I911" s="4" t="n"/>
    </row>
    <row r="912" ht="15.75" customHeight="1" s="85">
      <c r="A912" s="4" t="n"/>
      <c r="B912" s="4" t="n"/>
      <c r="C912" s="4" t="n"/>
      <c r="D912" s="4" t="n"/>
      <c r="E912" s="4" t="n"/>
      <c r="F912" s="4" t="n"/>
      <c r="G912" s="4" t="n"/>
      <c r="H912" s="4" t="n"/>
      <c r="I912" s="4" t="n"/>
    </row>
    <row r="913" ht="15.75" customHeight="1" s="85">
      <c r="A913" s="4" t="n"/>
      <c r="B913" s="4" t="n"/>
      <c r="C913" s="4" t="n"/>
      <c r="D913" s="4" t="n"/>
      <c r="E913" s="4" t="n"/>
      <c r="F913" s="4" t="n"/>
      <c r="G913" s="4" t="n"/>
      <c r="H913" s="4" t="n"/>
      <c r="I913" s="4" t="n"/>
    </row>
    <row r="914" ht="15.75" customHeight="1" s="85">
      <c r="A914" s="4" t="n"/>
      <c r="B914" s="4" t="n"/>
      <c r="C914" s="4" t="n"/>
      <c r="D914" s="4" t="n"/>
      <c r="E914" s="4" t="n"/>
      <c r="F914" s="4" t="n"/>
      <c r="G914" s="4" t="n"/>
      <c r="H914" s="4" t="n"/>
      <c r="I914" s="4" t="n"/>
    </row>
    <row r="915" ht="15.75" customHeight="1" s="85">
      <c r="A915" s="4" t="n"/>
      <c r="B915" s="4" t="n"/>
      <c r="C915" s="4" t="n"/>
      <c r="D915" s="4" t="n"/>
      <c r="E915" s="4" t="n"/>
      <c r="F915" s="4" t="n"/>
      <c r="G915" s="4" t="n"/>
      <c r="H915" s="4" t="n"/>
      <c r="I915" s="4" t="n"/>
    </row>
    <row r="916" ht="15.75" customHeight="1" s="85">
      <c r="A916" s="4" t="n"/>
      <c r="B916" s="4" t="n"/>
      <c r="C916" s="4" t="n"/>
      <c r="D916" s="4" t="n"/>
      <c r="E916" s="4" t="n"/>
      <c r="F916" s="4" t="n"/>
      <c r="G916" s="4" t="n"/>
      <c r="H916" s="4" t="n"/>
      <c r="I916" s="4" t="n"/>
    </row>
    <row r="917" ht="15.75" customHeight="1" s="85">
      <c r="A917" s="4" t="n"/>
      <c r="B917" s="4" t="n"/>
      <c r="C917" s="4" t="n"/>
      <c r="D917" s="4" t="n"/>
      <c r="E917" s="4" t="n"/>
      <c r="F917" s="4" t="n"/>
      <c r="G917" s="4" t="n"/>
      <c r="H917" s="4" t="n"/>
      <c r="I917" s="4" t="n"/>
    </row>
    <row r="918" ht="15.75" customHeight="1" s="85">
      <c r="A918" s="4" t="n"/>
      <c r="B918" s="4" t="n"/>
      <c r="C918" s="4" t="n"/>
      <c r="D918" s="4" t="n"/>
      <c r="E918" s="4" t="n"/>
      <c r="F918" s="4" t="n"/>
      <c r="G918" s="4" t="n"/>
      <c r="H918" s="4" t="n"/>
      <c r="I918" s="4" t="n"/>
    </row>
    <row r="919" ht="15.75" customHeight="1" s="85">
      <c r="A919" s="4" t="n"/>
      <c r="B919" s="4" t="n"/>
      <c r="C919" s="4" t="n"/>
      <c r="D919" s="4" t="n"/>
      <c r="E919" s="4" t="n"/>
      <c r="F919" s="4" t="n"/>
      <c r="G919" s="4" t="n"/>
      <c r="H919" s="4" t="n"/>
      <c r="I919" s="4" t="n"/>
    </row>
    <row r="920" ht="15.75" customHeight="1" s="85">
      <c r="A920" s="4" t="n"/>
      <c r="B920" s="4" t="n"/>
      <c r="C920" s="4" t="n"/>
      <c r="D920" s="4" t="n"/>
      <c r="E920" s="4" t="n"/>
      <c r="F920" s="4" t="n"/>
      <c r="G920" s="4" t="n"/>
      <c r="H920" s="4" t="n"/>
      <c r="I920" s="4" t="n"/>
    </row>
    <row r="921" ht="15.75" customHeight="1" s="85">
      <c r="A921" s="4" t="n"/>
      <c r="B921" s="4" t="n"/>
      <c r="C921" s="4" t="n"/>
      <c r="D921" s="4" t="n"/>
      <c r="E921" s="4" t="n"/>
      <c r="F921" s="4" t="n"/>
      <c r="G921" s="4" t="n"/>
      <c r="H921" s="4" t="n"/>
      <c r="I921" s="4" t="n"/>
    </row>
    <row r="922" ht="15.75" customHeight="1" s="85">
      <c r="A922" s="4" t="n"/>
      <c r="B922" s="4" t="n"/>
      <c r="C922" s="4" t="n"/>
      <c r="D922" s="4" t="n"/>
      <c r="E922" s="4" t="n"/>
      <c r="F922" s="4" t="n"/>
      <c r="G922" s="4" t="n"/>
      <c r="H922" s="4" t="n"/>
      <c r="I922" s="4" t="n"/>
    </row>
    <row r="923" ht="15.75" customHeight="1" s="85">
      <c r="A923" s="4" t="n"/>
      <c r="B923" s="4" t="n"/>
      <c r="C923" s="4" t="n"/>
      <c r="D923" s="4" t="n"/>
      <c r="E923" s="4" t="n"/>
      <c r="F923" s="4" t="n"/>
      <c r="G923" s="4" t="n"/>
      <c r="H923" s="4" t="n"/>
      <c r="I923" s="4" t="n"/>
    </row>
    <row r="924" ht="15.75" customHeight="1" s="85">
      <c r="A924" s="4" t="n"/>
      <c r="B924" s="4" t="n"/>
      <c r="C924" s="4" t="n"/>
      <c r="D924" s="4" t="n"/>
      <c r="E924" s="4" t="n"/>
      <c r="F924" s="4" t="n"/>
      <c r="G924" s="4" t="n"/>
      <c r="H924" s="4" t="n"/>
      <c r="I924" s="4" t="n"/>
    </row>
    <row r="925" ht="15.75" customHeight="1" s="85">
      <c r="A925" s="4" t="n"/>
      <c r="B925" s="4" t="n"/>
      <c r="C925" s="4" t="n"/>
      <c r="D925" s="4" t="n"/>
      <c r="E925" s="4" t="n"/>
      <c r="F925" s="4" t="n"/>
      <c r="G925" s="4" t="n"/>
      <c r="H925" s="4" t="n"/>
      <c r="I925" s="4" t="n"/>
    </row>
    <row r="926" ht="15.75" customHeight="1" s="85">
      <c r="A926" s="4" t="n"/>
      <c r="B926" s="4" t="n"/>
      <c r="C926" s="4" t="n"/>
      <c r="D926" s="4" t="n"/>
      <c r="E926" s="4" t="n"/>
      <c r="F926" s="4" t="n"/>
      <c r="G926" s="4" t="n"/>
      <c r="H926" s="4" t="n"/>
      <c r="I926" s="4" t="n"/>
    </row>
    <row r="927" ht="15.75" customHeight="1" s="85">
      <c r="A927" s="4" t="n"/>
      <c r="B927" s="4" t="n"/>
      <c r="C927" s="4" t="n"/>
      <c r="D927" s="4" t="n"/>
      <c r="E927" s="4" t="n"/>
      <c r="F927" s="4" t="n"/>
      <c r="G927" s="4" t="n"/>
      <c r="H927" s="4" t="n"/>
      <c r="I927" s="4" t="n"/>
    </row>
    <row r="928" ht="15.75" customHeight="1" s="85">
      <c r="A928" s="4" t="n"/>
      <c r="B928" s="4" t="n"/>
      <c r="C928" s="4" t="n"/>
      <c r="D928" s="4" t="n"/>
      <c r="E928" s="4" t="n"/>
      <c r="F928" s="4" t="n"/>
      <c r="G928" s="4" t="n"/>
      <c r="H928" s="4" t="n"/>
      <c r="I928" s="4" t="n"/>
    </row>
    <row r="929" ht="15.75" customHeight="1" s="85">
      <c r="A929" s="4" t="n"/>
      <c r="B929" s="4" t="n"/>
      <c r="C929" s="4" t="n"/>
      <c r="D929" s="4" t="n"/>
      <c r="E929" s="4" t="n"/>
      <c r="F929" s="4" t="n"/>
      <c r="G929" s="4" t="n"/>
      <c r="H929" s="4" t="n"/>
      <c r="I929" s="4" t="n"/>
    </row>
    <row r="930" ht="15.75" customHeight="1" s="85">
      <c r="A930" s="4" t="n"/>
      <c r="B930" s="4" t="n"/>
      <c r="C930" s="4" t="n"/>
      <c r="D930" s="4" t="n"/>
      <c r="E930" s="4" t="n"/>
      <c r="F930" s="4" t="n"/>
      <c r="G930" s="4" t="n"/>
      <c r="H930" s="4" t="n"/>
      <c r="I930" s="4" t="n"/>
    </row>
    <row r="931" ht="15.75" customHeight="1" s="85">
      <c r="A931" s="4" t="n"/>
      <c r="B931" s="4" t="n"/>
      <c r="C931" s="4" t="n"/>
      <c r="D931" s="4" t="n"/>
      <c r="E931" s="4" t="n"/>
      <c r="F931" s="4" t="n"/>
      <c r="G931" s="4" t="n"/>
      <c r="H931" s="4" t="n"/>
      <c r="I931" s="4" t="n"/>
    </row>
    <row r="932" ht="15.75" customHeight="1" s="85">
      <c r="A932" s="4" t="n"/>
      <c r="B932" s="4" t="n"/>
      <c r="C932" s="4" t="n"/>
      <c r="D932" s="4" t="n"/>
      <c r="E932" s="4" t="n"/>
      <c r="F932" s="4" t="n"/>
      <c r="G932" s="4" t="n"/>
      <c r="H932" s="4" t="n"/>
      <c r="I932" s="4" t="n"/>
    </row>
    <row r="933" ht="15.75" customHeight="1" s="85">
      <c r="A933" s="4" t="n"/>
      <c r="B933" s="4" t="n"/>
      <c r="C933" s="4" t="n"/>
      <c r="D933" s="4" t="n"/>
      <c r="E933" s="4" t="n"/>
      <c r="F933" s="4" t="n"/>
      <c r="G933" s="4" t="n"/>
      <c r="H933" s="4" t="n"/>
      <c r="I933" s="4" t="n"/>
    </row>
    <row r="934" ht="15.75" customHeight="1" s="85">
      <c r="A934" s="4" t="n"/>
      <c r="B934" s="4" t="n"/>
      <c r="C934" s="4" t="n"/>
      <c r="D934" s="4" t="n"/>
      <c r="E934" s="4" t="n"/>
      <c r="F934" s="4" t="n"/>
      <c r="G934" s="4" t="n"/>
      <c r="H934" s="4" t="n"/>
      <c r="I934" s="4" t="n"/>
    </row>
    <row r="935" ht="15.75" customHeight="1" s="85">
      <c r="A935" s="4" t="n"/>
      <c r="B935" s="4" t="n"/>
      <c r="C935" s="4" t="n"/>
      <c r="D935" s="4" t="n"/>
      <c r="E935" s="4" t="n"/>
      <c r="F935" s="4" t="n"/>
      <c r="G935" s="4" t="n"/>
      <c r="H935" s="4" t="n"/>
      <c r="I935" s="4" t="n"/>
    </row>
    <row r="936" ht="15.75" customHeight="1" s="85">
      <c r="A936" s="4" t="n"/>
      <c r="B936" s="4" t="n"/>
      <c r="C936" s="4" t="n"/>
      <c r="D936" s="4" t="n"/>
      <c r="E936" s="4" t="n"/>
      <c r="F936" s="4" t="n"/>
      <c r="G936" s="4" t="n"/>
      <c r="H936" s="4" t="n"/>
      <c r="I936" s="4" t="n"/>
    </row>
    <row r="937" ht="15.75" customHeight="1" s="85">
      <c r="A937" s="4" t="n"/>
      <c r="B937" s="4" t="n"/>
      <c r="C937" s="4" t="n"/>
      <c r="D937" s="4" t="n"/>
      <c r="E937" s="4" t="n"/>
      <c r="F937" s="4" t="n"/>
      <c r="G937" s="4" t="n"/>
      <c r="H937" s="4" t="n"/>
      <c r="I937" s="4" t="n"/>
    </row>
    <row r="938" ht="15.75" customHeight="1" s="85">
      <c r="A938" s="4" t="n"/>
      <c r="B938" s="4" t="n"/>
      <c r="C938" s="4" t="n"/>
      <c r="D938" s="4" t="n"/>
      <c r="E938" s="4" t="n"/>
      <c r="F938" s="4" t="n"/>
      <c r="G938" s="4" t="n"/>
      <c r="H938" s="4" t="n"/>
      <c r="I938" s="4" t="n"/>
    </row>
    <row r="939" ht="15.75" customHeight="1" s="85">
      <c r="A939" s="4" t="n"/>
      <c r="B939" s="4" t="n"/>
      <c r="C939" s="4" t="n"/>
      <c r="D939" s="4" t="n"/>
      <c r="E939" s="4" t="n"/>
      <c r="F939" s="4" t="n"/>
      <c r="G939" s="4" t="n"/>
      <c r="H939" s="4" t="n"/>
      <c r="I939" s="4" t="n"/>
    </row>
    <row r="940" ht="15.75" customHeight="1" s="85">
      <c r="A940" s="4" t="n"/>
      <c r="B940" s="4" t="n"/>
      <c r="C940" s="4" t="n"/>
      <c r="D940" s="4" t="n"/>
      <c r="E940" s="4" t="n"/>
      <c r="F940" s="4" t="n"/>
      <c r="G940" s="4" t="n"/>
      <c r="H940" s="4" t="n"/>
      <c r="I940" s="4" t="n"/>
    </row>
    <row r="941" ht="15.75" customHeight="1" s="85">
      <c r="A941" s="4" t="n"/>
      <c r="B941" s="4" t="n"/>
      <c r="C941" s="4" t="n"/>
      <c r="D941" s="4" t="n"/>
      <c r="E941" s="4" t="n"/>
      <c r="F941" s="4" t="n"/>
      <c r="G941" s="4" t="n"/>
      <c r="H941" s="4" t="n"/>
      <c r="I941" s="4" t="n"/>
    </row>
    <row r="942" ht="15.75" customHeight="1" s="85">
      <c r="A942" s="4" t="n"/>
      <c r="B942" s="4" t="n"/>
      <c r="C942" s="4" t="n"/>
      <c r="D942" s="4" t="n"/>
      <c r="E942" s="4" t="n"/>
      <c r="F942" s="4" t="n"/>
      <c r="G942" s="4" t="n"/>
      <c r="H942" s="4" t="n"/>
      <c r="I942" s="4" t="n"/>
    </row>
    <row r="943" ht="15.75" customHeight="1" s="85">
      <c r="A943" s="4" t="n"/>
      <c r="B943" s="4" t="n"/>
      <c r="C943" s="4" t="n"/>
      <c r="D943" s="4" t="n"/>
      <c r="E943" s="4" t="n"/>
      <c r="F943" s="4" t="n"/>
      <c r="G943" s="4" t="n"/>
      <c r="H943" s="4" t="n"/>
      <c r="I943" s="4" t="n"/>
    </row>
    <row r="944" ht="15.75" customHeight="1" s="85">
      <c r="A944" s="4" t="n"/>
      <c r="B944" s="4" t="n"/>
      <c r="C944" s="4" t="n"/>
      <c r="D944" s="4" t="n"/>
      <c r="E944" s="4" t="n"/>
      <c r="F944" s="4" t="n"/>
      <c r="G944" s="4" t="n"/>
      <c r="H944" s="4" t="n"/>
      <c r="I944" s="4" t="n"/>
    </row>
    <row r="945" ht="15.75" customHeight="1" s="85">
      <c r="A945" s="4" t="n"/>
      <c r="B945" s="4" t="n"/>
      <c r="C945" s="4" t="n"/>
      <c r="D945" s="4" t="n"/>
      <c r="E945" s="4" t="n"/>
      <c r="F945" s="4" t="n"/>
      <c r="G945" s="4" t="n"/>
      <c r="H945" s="4" t="n"/>
      <c r="I945" s="4" t="n"/>
    </row>
    <row r="946" ht="15.75" customHeight="1" s="85">
      <c r="A946" s="4" t="n"/>
      <c r="B946" s="4" t="n"/>
      <c r="C946" s="4" t="n"/>
      <c r="D946" s="4" t="n"/>
      <c r="E946" s="4" t="n"/>
      <c r="F946" s="4" t="n"/>
      <c r="G946" s="4" t="n"/>
      <c r="H946" s="4" t="n"/>
      <c r="I946" s="4" t="n"/>
    </row>
    <row r="947" ht="15.75" customHeight="1" s="85">
      <c r="A947" s="4" t="n"/>
      <c r="B947" s="4" t="n"/>
      <c r="C947" s="4" t="n"/>
      <c r="D947" s="4" t="n"/>
      <c r="E947" s="4" t="n"/>
      <c r="F947" s="4" t="n"/>
      <c r="G947" s="4" t="n"/>
      <c r="H947" s="4" t="n"/>
      <c r="I947" s="4" t="n"/>
    </row>
    <row r="948" ht="15.75" customHeight="1" s="85">
      <c r="A948" s="4" t="n"/>
      <c r="B948" s="4" t="n"/>
      <c r="C948" s="4" t="n"/>
      <c r="D948" s="4" t="n"/>
      <c r="E948" s="4" t="n"/>
      <c r="F948" s="4" t="n"/>
      <c r="G948" s="4" t="n"/>
      <c r="H948" s="4" t="n"/>
      <c r="I948" s="4" t="n"/>
    </row>
    <row r="949" ht="15.75" customHeight="1" s="85">
      <c r="A949" s="4" t="n"/>
      <c r="B949" s="4" t="n"/>
      <c r="C949" s="4" t="n"/>
      <c r="D949" s="4" t="n"/>
      <c r="E949" s="4" t="n"/>
      <c r="F949" s="4" t="n"/>
      <c r="G949" s="4" t="n"/>
      <c r="H949" s="4" t="n"/>
      <c r="I949" s="4" t="n"/>
    </row>
    <row r="950" ht="15.75" customHeight="1" s="85">
      <c r="A950" s="4" t="n"/>
      <c r="B950" s="4" t="n"/>
      <c r="C950" s="4" t="n"/>
      <c r="D950" s="4" t="n"/>
      <c r="E950" s="4" t="n"/>
      <c r="F950" s="4" t="n"/>
      <c r="G950" s="4" t="n"/>
      <c r="H950" s="4" t="n"/>
      <c r="I950" s="4" t="n"/>
    </row>
    <row r="951" ht="15.75" customHeight="1" s="85">
      <c r="A951" s="4" t="n"/>
      <c r="B951" s="4" t="n"/>
      <c r="C951" s="4" t="n"/>
      <c r="D951" s="4" t="n"/>
      <c r="E951" s="4" t="n"/>
      <c r="F951" s="4" t="n"/>
      <c r="G951" s="4" t="n"/>
      <c r="H951" s="4" t="n"/>
      <c r="I951" s="4" t="n"/>
    </row>
    <row r="952" ht="15.75" customHeight="1" s="85">
      <c r="A952" s="4" t="n"/>
      <c r="B952" s="4" t="n"/>
      <c r="C952" s="4" t="n"/>
      <c r="D952" s="4" t="n"/>
      <c r="E952" s="4" t="n"/>
      <c r="F952" s="4" t="n"/>
      <c r="G952" s="4" t="n"/>
      <c r="H952" s="4" t="n"/>
      <c r="I952" s="4" t="n"/>
    </row>
    <row r="953" ht="15.75" customHeight="1" s="85">
      <c r="A953" s="4" t="n"/>
      <c r="B953" s="4" t="n"/>
      <c r="C953" s="4" t="n"/>
      <c r="D953" s="4" t="n"/>
      <c r="E953" s="4" t="n"/>
      <c r="F953" s="4" t="n"/>
      <c r="G953" s="4" t="n"/>
      <c r="H953" s="4" t="n"/>
      <c r="I953" s="4" t="n"/>
    </row>
    <row r="954" ht="15.75" customHeight="1" s="85">
      <c r="A954" s="4" t="n"/>
      <c r="B954" s="4" t="n"/>
      <c r="C954" s="4" t="n"/>
      <c r="D954" s="4" t="n"/>
      <c r="E954" s="4" t="n"/>
      <c r="F954" s="4" t="n"/>
      <c r="G954" s="4" t="n"/>
      <c r="H954" s="4" t="n"/>
      <c r="I954" s="4" t="n"/>
    </row>
    <row r="955" ht="15.75" customHeight="1" s="85">
      <c r="A955" s="4" t="n"/>
      <c r="B955" s="4" t="n"/>
      <c r="C955" s="4" t="n"/>
      <c r="D955" s="4" t="n"/>
      <c r="E955" s="4" t="n"/>
      <c r="F955" s="4" t="n"/>
      <c r="G955" s="4" t="n"/>
      <c r="H955" s="4" t="n"/>
      <c r="I955" s="4" t="n"/>
    </row>
    <row r="956" ht="15.75" customHeight="1" s="85">
      <c r="A956" s="4" t="n"/>
      <c r="B956" s="4" t="n"/>
      <c r="C956" s="4" t="n"/>
      <c r="D956" s="4" t="n"/>
      <c r="E956" s="4" t="n"/>
      <c r="F956" s="4" t="n"/>
      <c r="G956" s="4" t="n"/>
      <c r="H956" s="4" t="n"/>
      <c r="I956" s="4" t="n"/>
    </row>
    <row r="957" ht="15.75" customHeight="1" s="85">
      <c r="A957" s="4" t="n"/>
      <c r="B957" s="4" t="n"/>
      <c r="C957" s="4" t="n"/>
      <c r="D957" s="4" t="n"/>
      <c r="E957" s="4" t="n"/>
      <c r="F957" s="4" t="n"/>
      <c r="G957" s="4" t="n"/>
      <c r="H957" s="4" t="n"/>
      <c r="I957" s="4" t="n"/>
    </row>
    <row r="958" ht="15.75" customHeight="1" s="85">
      <c r="A958" s="4" t="n"/>
      <c r="B958" s="4" t="n"/>
      <c r="C958" s="4" t="n"/>
      <c r="D958" s="4" t="n"/>
      <c r="E958" s="4" t="n"/>
      <c r="F958" s="4" t="n"/>
      <c r="G958" s="4" t="n"/>
      <c r="H958" s="4" t="n"/>
      <c r="I958" s="4" t="n"/>
    </row>
    <row r="959" ht="15.75" customHeight="1" s="85">
      <c r="A959" s="4" t="n"/>
      <c r="B959" s="4" t="n"/>
      <c r="C959" s="4" t="n"/>
      <c r="D959" s="4" t="n"/>
      <c r="E959" s="4" t="n"/>
      <c r="F959" s="4" t="n"/>
      <c r="G959" s="4" t="n"/>
      <c r="H959" s="4" t="n"/>
      <c r="I959" s="4" t="n"/>
    </row>
    <row r="960" ht="15.75" customHeight="1" s="85">
      <c r="A960" s="4" t="n"/>
      <c r="B960" s="4" t="n"/>
      <c r="C960" s="4" t="n"/>
      <c r="D960" s="4" t="n"/>
      <c r="E960" s="4" t="n"/>
      <c r="F960" s="4" t="n"/>
      <c r="G960" s="4" t="n"/>
      <c r="H960" s="4" t="n"/>
      <c r="I960" s="4" t="n"/>
    </row>
    <row r="961" ht="15.75" customHeight="1" s="85">
      <c r="A961" s="4" t="n"/>
      <c r="B961" s="4" t="n"/>
      <c r="C961" s="4" t="n"/>
      <c r="D961" s="4" t="n"/>
      <c r="E961" s="4" t="n"/>
      <c r="F961" s="4" t="n"/>
      <c r="G961" s="4" t="n"/>
      <c r="H961" s="4" t="n"/>
      <c r="I961" s="4" t="n"/>
    </row>
    <row r="962" ht="15.75" customHeight="1" s="85">
      <c r="A962" s="4" t="n"/>
      <c r="B962" s="4" t="n"/>
      <c r="C962" s="4" t="n"/>
      <c r="D962" s="4" t="n"/>
      <c r="E962" s="4" t="n"/>
      <c r="F962" s="4" t="n"/>
      <c r="G962" s="4" t="n"/>
      <c r="H962" s="4" t="n"/>
      <c r="I962" s="4" t="n"/>
    </row>
    <row r="963" ht="15.75" customHeight="1" s="85">
      <c r="A963" s="4" t="n"/>
      <c r="B963" s="4" t="n"/>
      <c r="C963" s="4" t="n"/>
      <c r="D963" s="4" t="n"/>
      <c r="E963" s="4" t="n"/>
      <c r="F963" s="4" t="n"/>
      <c r="G963" s="4" t="n"/>
      <c r="H963" s="4" t="n"/>
      <c r="I963" s="4" t="n"/>
    </row>
    <row r="964" ht="15.75" customHeight="1" s="85">
      <c r="A964" s="4" t="n"/>
      <c r="B964" s="4" t="n"/>
      <c r="C964" s="4" t="n"/>
      <c r="D964" s="4" t="n"/>
      <c r="E964" s="4" t="n"/>
      <c r="F964" s="4" t="n"/>
      <c r="G964" s="4" t="n"/>
      <c r="H964" s="4" t="n"/>
      <c r="I964" s="4" t="n"/>
    </row>
    <row r="965" ht="15.75" customHeight="1" s="85">
      <c r="A965" s="4" t="n"/>
      <c r="B965" s="4" t="n"/>
      <c r="C965" s="4" t="n"/>
      <c r="D965" s="4" t="n"/>
      <c r="E965" s="4" t="n"/>
      <c r="F965" s="4" t="n"/>
      <c r="G965" s="4" t="n"/>
      <c r="H965" s="4" t="n"/>
      <c r="I965" s="4" t="n"/>
    </row>
    <row r="966" ht="15.75" customHeight="1" s="85">
      <c r="A966" s="4" t="n"/>
      <c r="B966" s="4" t="n"/>
      <c r="C966" s="4" t="n"/>
      <c r="D966" s="4" t="n"/>
      <c r="E966" s="4" t="n"/>
      <c r="F966" s="4" t="n"/>
      <c r="G966" s="4" t="n"/>
      <c r="H966" s="4" t="n"/>
      <c r="I966" s="4" t="n"/>
    </row>
    <row r="967" ht="15.75" customHeight="1" s="85">
      <c r="A967" s="4" t="n"/>
      <c r="B967" s="4" t="n"/>
      <c r="C967" s="4" t="n"/>
      <c r="D967" s="4" t="n"/>
      <c r="E967" s="4" t="n"/>
      <c r="F967" s="4" t="n"/>
      <c r="G967" s="4" t="n"/>
      <c r="H967" s="4" t="n"/>
      <c r="I967" s="4" t="n"/>
    </row>
    <row r="968" ht="15.75" customHeight="1" s="85">
      <c r="A968" s="4" t="n"/>
      <c r="B968" s="4" t="n"/>
      <c r="C968" s="4" t="n"/>
      <c r="D968" s="4" t="n"/>
      <c r="E968" s="4" t="n"/>
      <c r="F968" s="4" t="n"/>
      <c r="G968" s="4" t="n"/>
      <c r="H968" s="4" t="n"/>
      <c r="I968" s="4" t="n"/>
    </row>
    <row r="969" ht="15.75" customHeight="1" s="85">
      <c r="A969" s="4" t="n"/>
      <c r="B969" s="4" t="n"/>
      <c r="C969" s="4" t="n"/>
      <c r="D969" s="4" t="n"/>
      <c r="E969" s="4" t="n"/>
      <c r="F969" s="4" t="n"/>
      <c r="G969" s="4" t="n"/>
      <c r="H969" s="4" t="n"/>
      <c r="I969" s="4" t="n"/>
    </row>
    <row r="970" ht="15.75" customHeight="1" s="85">
      <c r="A970" s="4" t="n"/>
      <c r="B970" s="4" t="n"/>
      <c r="C970" s="4" t="n"/>
      <c r="D970" s="4" t="n"/>
      <c r="E970" s="4" t="n"/>
      <c r="F970" s="4" t="n"/>
      <c r="G970" s="4" t="n"/>
      <c r="H970" s="4" t="n"/>
      <c r="I970" s="4" t="n"/>
    </row>
    <row r="971" ht="15.75" customHeight="1" s="85">
      <c r="A971" s="4" t="n"/>
      <c r="B971" s="4" t="n"/>
      <c r="C971" s="4" t="n"/>
      <c r="D971" s="4" t="n"/>
      <c r="E971" s="4" t="n"/>
      <c r="F971" s="4" t="n"/>
      <c r="G971" s="4" t="n"/>
      <c r="H971" s="4" t="n"/>
      <c r="I971" s="4" t="n"/>
    </row>
    <row r="972" ht="15.75" customHeight="1" s="85">
      <c r="A972" s="4" t="n"/>
      <c r="B972" s="4" t="n"/>
      <c r="C972" s="4" t="n"/>
      <c r="D972" s="4" t="n"/>
      <c r="E972" s="4" t="n"/>
      <c r="F972" s="4" t="n"/>
      <c r="G972" s="4" t="n"/>
      <c r="H972" s="4" t="n"/>
      <c r="I972" s="4" t="n"/>
    </row>
    <row r="973" ht="15.75" customHeight="1" s="85">
      <c r="A973" s="4" t="n"/>
      <c r="B973" s="4" t="n"/>
      <c r="C973" s="4" t="n"/>
      <c r="D973" s="4" t="n"/>
      <c r="E973" s="4" t="n"/>
      <c r="F973" s="4" t="n"/>
      <c r="G973" s="4" t="n"/>
      <c r="H973" s="4" t="n"/>
      <c r="I973" s="4" t="n"/>
    </row>
    <row r="974" ht="15.75" customHeight="1" s="85">
      <c r="A974" s="4" t="n"/>
      <c r="B974" s="4" t="n"/>
      <c r="C974" s="4" t="n"/>
      <c r="D974" s="4" t="n"/>
      <c r="E974" s="4" t="n"/>
      <c r="F974" s="4" t="n"/>
      <c r="G974" s="4" t="n"/>
      <c r="H974" s="4" t="n"/>
      <c r="I974" s="4" t="n"/>
    </row>
    <row r="975" ht="15.75" customHeight="1" s="85">
      <c r="A975" s="4" t="n"/>
      <c r="B975" s="4" t="n"/>
      <c r="C975" s="4" t="n"/>
      <c r="D975" s="4" t="n"/>
      <c r="E975" s="4" t="n"/>
      <c r="F975" s="4" t="n"/>
      <c r="G975" s="4" t="n"/>
      <c r="H975" s="4" t="n"/>
      <c r="I975" s="4" t="n"/>
    </row>
    <row r="976" ht="15.75" customHeight="1" s="85">
      <c r="A976" s="4" t="n"/>
      <c r="B976" s="4" t="n"/>
      <c r="C976" s="4" t="n"/>
      <c r="D976" s="4" t="n"/>
      <c r="E976" s="4" t="n"/>
      <c r="F976" s="4" t="n"/>
      <c r="G976" s="4" t="n"/>
      <c r="H976" s="4" t="n"/>
      <c r="I976" s="4" t="n"/>
    </row>
    <row r="977" ht="15.75" customHeight="1" s="85">
      <c r="A977" s="4" t="n"/>
      <c r="B977" s="4" t="n"/>
      <c r="C977" s="4" t="n"/>
      <c r="D977" s="4" t="n"/>
      <c r="E977" s="4" t="n"/>
      <c r="F977" s="4" t="n"/>
      <c r="G977" s="4" t="n"/>
      <c r="H977" s="4" t="n"/>
      <c r="I977" s="4" t="n"/>
    </row>
    <row r="978" ht="15.75" customHeight="1" s="85">
      <c r="A978" s="4" t="n"/>
      <c r="B978" s="4" t="n"/>
      <c r="C978" s="4" t="n"/>
      <c r="D978" s="4" t="n"/>
      <c r="E978" s="4" t="n"/>
      <c r="F978" s="4" t="n"/>
      <c r="G978" s="4" t="n"/>
      <c r="H978" s="4" t="n"/>
      <c r="I978" s="4" t="n"/>
    </row>
    <row r="979" ht="15.75" customHeight="1" s="85">
      <c r="A979" s="4" t="n"/>
      <c r="B979" s="4" t="n"/>
      <c r="C979" s="4" t="n"/>
      <c r="D979" s="4" t="n"/>
      <c r="E979" s="4" t="n"/>
      <c r="F979" s="4" t="n"/>
      <c r="G979" s="4" t="n"/>
      <c r="H979" s="4" t="n"/>
      <c r="I979" s="4" t="n"/>
    </row>
    <row r="980" ht="15.75" customHeight="1" s="85">
      <c r="A980" s="4" t="n"/>
      <c r="B980" s="4" t="n"/>
      <c r="C980" s="4" t="n"/>
      <c r="D980" s="4" t="n"/>
      <c r="E980" s="4" t="n"/>
      <c r="F980" s="4" t="n"/>
      <c r="G980" s="4" t="n"/>
      <c r="H980" s="4" t="n"/>
      <c r="I980" s="4" t="n"/>
    </row>
    <row r="981" ht="15.75" customHeight="1" s="85">
      <c r="A981" s="4" t="n"/>
      <c r="B981" s="4" t="n"/>
      <c r="C981" s="4" t="n"/>
      <c r="D981" s="4" t="n"/>
      <c r="E981" s="4" t="n"/>
      <c r="F981" s="4" t="n"/>
      <c r="G981" s="4" t="n"/>
      <c r="H981" s="4" t="n"/>
      <c r="I981" s="4" t="n"/>
    </row>
    <row r="982" ht="15.75" customHeight="1" s="85">
      <c r="A982" s="4" t="n"/>
      <c r="B982" s="4" t="n"/>
      <c r="C982" s="4" t="n"/>
      <c r="D982" s="4" t="n"/>
      <c r="E982" s="4" t="n"/>
      <c r="F982" s="4" t="n"/>
      <c r="G982" s="4" t="n"/>
      <c r="H982" s="4" t="n"/>
      <c r="I982" s="4" t="n"/>
    </row>
    <row r="983" ht="15.75" customHeight="1" s="85">
      <c r="A983" s="4" t="n"/>
      <c r="B983" s="4" t="n"/>
      <c r="C983" s="4" t="n"/>
      <c r="D983" s="4" t="n"/>
      <c r="E983" s="4" t="n"/>
      <c r="F983" s="4" t="n"/>
      <c r="G983" s="4" t="n"/>
      <c r="H983" s="4" t="n"/>
      <c r="I983" s="4" t="n"/>
    </row>
    <row r="984" ht="15.75" customHeight="1" s="85">
      <c r="A984" s="4" t="n"/>
      <c r="B984" s="4" t="n"/>
      <c r="C984" s="4" t="n"/>
      <c r="D984" s="4" t="n"/>
      <c r="E984" s="4" t="n"/>
      <c r="F984" s="4" t="n"/>
      <c r="G984" s="4" t="n"/>
      <c r="H984" s="4" t="n"/>
      <c r="I984" s="4" t="n"/>
    </row>
    <row r="985" ht="15.75" customHeight="1" s="85">
      <c r="A985" s="4" t="n"/>
      <c r="B985" s="4" t="n"/>
      <c r="C985" s="4" t="n"/>
      <c r="D985" s="4" t="n"/>
      <c r="E985" s="4" t="n"/>
      <c r="F985" s="4" t="n"/>
      <c r="G985" s="4" t="n"/>
      <c r="H985" s="4" t="n"/>
      <c r="I985" s="4" t="n"/>
    </row>
    <row r="986" ht="15.75" customHeight="1" s="85">
      <c r="A986" s="4" t="n"/>
      <c r="B986" s="4" t="n"/>
      <c r="C986" s="4" t="n"/>
      <c r="D986" s="4" t="n"/>
      <c r="E986" s="4" t="n"/>
      <c r="F986" s="4" t="n"/>
      <c r="G986" s="4" t="n"/>
      <c r="H986" s="4" t="n"/>
      <c r="I986" s="4" t="n"/>
    </row>
    <row r="987" ht="15.75" customHeight="1" s="85">
      <c r="A987" s="4" t="n"/>
      <c r="B987" s="4" t="n"/>
      <c r="C987" s="4" t="n"/>
      <c r="D987" s="4" t="n"/>
      <c r="E987" s="4" t="n"/>
      <c r="F987" s="4" t="n"/>
      <c r="G987" s="4" t="n"/>
      <c r="H987" s="4" t="n"/>
      <c r="I987" s="4" t="n"/>
    </row>
    <row r="988" ht="15.75" customHeight="1" s="85">
      <c r="A988" s="4" t="n"/>
      <c r="B988" s="4" t="n"/>
      <c r="C988" s="4" t="n"/>
      <c r="D988" s="4" t="n"/>
      <c r="E988" s="4" t="n"/>
      <c r="F988" s="4" t="n"/>
      <c r="G988" s="4" t="n"/>
      <c r="H988" s="4" t="n"/>
      <c r="I988" s="4" t="n"/>
    </row>
    <row r="989" ht="15.75" customHeight="1" s="85">
      <c r="A989" s="4" t="n"/>
      <c r="B989" s="4" t="n"/>
      <c r="C989" s="4" t="n"/>
      <c r="D989" s="4" t="n"/>
      <c r="E989" s="4" t="n"/>
      <c r="F989" s="4" t="n"/>
      <c r="G989" s="4" t="n"/>
      <c r="H989" s="4" t="n"/>
      <c r="I989" s="4" t="n"/>
    </row>
    <row r="990" ht="15.75" customHeight="1" s="85">
      <c r="A990" s="4" t="n"/>
      <c r="B990" s="4" t="n"/>
      <c r="C990" s="4" t="n"/>
      <c r="D990" s="4" t="n"/>
      <c r="E990" s="4" t="n"/>
      <c r="F990" s="4" t="n"/>
      <c r="G990" s="4" t="n"/>
      <c r="H990" s="4" t="n"/>
      <c r="I990" s="4" t="n"/>
    </row>
    <row r="991" ht="15.75" customHeight="1" s="85">
      <c r="A991" s="4" t="n"/>
      <c r="B991" s="4" t="n"/>
      <c r="C991" s="4" t="n"/>
      <c r="D991" s="4" t="n"/>
      <c r="E991" s="4" t="n"/>
      <c r="F991" s="4" t="n"/>
      <c r="G991" s="4" t="n"/>
      <c r="H991" s="4" t="n"/>
      <c r="I991" s="4" t="n"/>
    </row>
    <row r="992" ht="15.75" customHeight="1" s="85">
      <c r="A992" s="4" t="n"/>
      <c r="B992" s="4" t="n"/>
      <c r="C992" s="4" t="n"/>
      <c r="D992" s="4" t="n"/>
      <c r="E992" s="4" t="n"/>
      <c r="F992" s="4" t="n"/>
      <c r="G992" s="4" t="n"/>
      <c r="H992" s="4" t="n"/>
      <c r="I992" s="4" t="n"/>
    </row>
    <row r="993" ht="15.75" customHeight="1" s="85">
      <c r="A993" s="4" t="n"/>
      <c r="B993" s="4" t="n"/>
      <c r="C993" s="4" t="n"/>
      <c r="D993" s="4" t="n"/>
      <c r="E993" s="4" t="n"/>
      <c r="F993" s="4" t="n"/>
      <c r="G993" s="4" t="n"/>
      <c r="H993" s="4" t="n"/>
      <c r="I993" s="4" t="n"/>
    </row>
    <row r="994" ht="15.75" customHeight="1" s="85">
      <c r="A994" s="4" t="n"/>
      <c r="B994" s="4" t="n"/>
      <c r="C994" s="4" t="n"/>
      <c r="D994" s="4" t="n"/>
      <c r="E994" s="4" t="n"/>
      <c r="F994" s="4" t="n"/>
      <c r="G994" s="4" t="n"/>
      <c r="H994" s="4" t="n"/>
      <c r="I994" s="4" t="n"/>
    </row>
    <row r="995" ht="15.75" customHeight="1" s="85">
      <c r="A995" s="4" t="n"/>
      <c r="B995" s="4" t="n"/>
      <c r="C995" s="4" t="n"/>
      <c r="D995" s="4" t="n"/>
      <c r="E995" s="4" t="n"/>
      <c r="F995" s="4" t="n"/>
      <c r="G995" s="4" t="n"/>
      <c r="H995" s="4" t="n"/>
      <c r="I995" s="4" t="n"/>
    </row>
    <row r="996" ht="15.75" customHeight="1" s="85">
      <c r="A996" s="4" t="n"/>
      <c r="B996" s="4" t="n"/>
      <c r="C996" s="4" t="n"/>
      <c r="D996" s="4" t="n"/>
      <c r="E996" s="4" t="n"/>
      <c r="F996" s="4" t="n"/>
      <c r="G996" s="4" t="n"/>
      <c r="H996" s="4" t="n"/>
      <c r="I996" s="4" t="n"/>
    </row>
    <row r="997" ht="15.75" customHeight="1" s="85">
      <c r="A997" s="4" t="n"/>
      <c r="B997" s="4" t="n"/>
      <c r="C997" s="4" t="n"/>
      <c r="D997" s="4" t="n"/>
      <c r="E997" s="4" t="n"/>
      <c r="F997" s="4" t="n"/>
      <c r="G997" s="4" t="n"/>
      <c r="H997" s="4" t="n"/>
      <c r="I997" s="4" t="n"/>
    </row>
    <row r="998" ht="15.75" customHeight="1" s="85">
      <c r="A998" s="4" t="n"/>
      <c r="B998" s="4" t="n"/>
      <c r="C998" s="4" t="n"/>
      <c r="D998" s="4" t="n"/>
      <c r="E998" s="4" t="n"/>
      <c r="F998" s="4" t="n"/>
      <c r="G998" s="4" t="n"/>
      <c r="H998" s="4" t="n"/>
      <c r="I998" s="4" t="n"/>
    </row>
    <row r="999" ht="15.75" customHeight="1" s="85">
      <c r="A999" s="4" t="n"/>
      <c r="B999" s="4" t="n"/>
      <c r="C999" s="4" t="n"/>
      <c r="D999" s="4" t="n"/>
      <c r="E999" s="4" t="n"/>
      <c r="F999" s="4" t="n"/>
      <c r="G999" s="4" t="n"/>
      <c r="H999" s="4" t="n"/>
      <c r="I999" s="4" t="n"/>
    </row>
    <row r="1000" ht="15.75" customHeight="1" s="85">
      <c r="A1000" s="4" t="n"/>
      <c r="B1000" s="4" t="n"/>
      <c r="C1000" s="4" t="n"/>
      <c r="D1000" s="4" t="n"/>
      <c r="E1000" s="4" t="n"/>
      <c r="F1000" s="4" t="n"/>
      <c r="G1000" s="4" t="n"/>
      <c r="H1000" s="4" t="n"/>
      <c r="I1000" s="4" t="n"/>
    </row>
  </sheetData>
  <mergeCells count="27">
    <mergeCell ref="G35:J35"/>
    <mergeCell ref="A37:F37"/>
    <mergeCell ref="G29:J29"/>
    <mergeCell ref="A43:J43"/>
    <mergeCell ref="A1:K1"/>
    <mergeCell ref="G32:J32"/>
    <mergeCell ref="A33:F33"/>
    <mergeCell ref="G31:J31"/>
    <mergeCell ref="A40:J40"/>
    <mergeCell ref="A32:F32"/>
    <mergeCell ref="A35:F35"/>
    <mergeCell ref="A29:F29"/>
    <mergeCell ref="G36:J36"/>
    <mergeCell ref="A38:F38"/>
    <mergeCell ref="A2:K2"/>
    <mergeCell ref="A31:F31"/>
    <mergeCell ref="G38:J38"/>
    <mergeCell ref="A34:F34"/>
    <mergeCell ref="A30:F30"/>
    <mergeCell ref="G37:J37"/>
    <mergeCell ref="A41:J41"/>
    <mergeCell ref="A36:F36"/>
    <mergeCell ref="A27:J27"/>
    <mergeCell ref="G34:J34"/>
    <mergeCell ref="G30:J30"/>
    <mergeCell ref="G33:J33"/>
    <mergeCell ref="A42:J42"/>
  </mergeCells>
  <conditionalFormatting sqref="A5:J24">
    <cfRule type="expression" priority="1" dxfId="0">
      <formula>$J5&lt;&gt;""</formula>
    </cfRule>
  </conditionalFormatting>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2026-06-03T15:51:57Z</dcterms:created>
  <dcterms:modified xmlns:dcterms="http://purl.org/dc/terms/" xmlns:xsi="http://www.w3.org/2001/XMLSchema-instance" xsi:type="dcterms:W3CDTF">2026-07-29T22:32:29Z</dcterms:modified>
</cp:coreProperties>
</file>